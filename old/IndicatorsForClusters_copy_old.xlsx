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1c3256d208fb6548/Personlig/Aske Banke Consultancy/YALE/Metodeartikel_WorldDevelopmentJournal/WorldDevelopmentArticleGit/"/>
    </mc:Choice>
  </mc:AlternateContent>
  <xr:revisionPtr revIDLastSave="76" documentId="8_{9856C943-DD01-465B-AD17-0E409E296684}" xr6:coauthVersionLast="47" xr6:coauthVersionMax="47" xr10:uidLastSave="{7F9DB591-7FA2-4202-B790-B0865E26AC2E}"/>
  <bookViews>
    <workbookView xWindow="-108" yWindow="-108" windowWidth="23256" windowHeight="12456" xr2:uid="{726B2859-724A-4801-8E74-5A4E1AFAB973}"/>
  </bookViews>
  <sheets>
    <sheet name="Experiment Descriptions" sheetId="2" r:id="rId1"/>
    <sheet name="Experiments" sheetId="3" r:id="rId2"/>
    <sheet name="Overview of indicators and DLS" sheetId="1"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2" l="1"/>
  <c r="G18" i="2"/>
  <c r="H18" i="2"/>
  <c r="F19" i="2"/>
  <c r="G19" i="2"/>
  <c r="H19" i="2"/>
  <c r="B5" i="2" a="1"/>
  <c r="B5" i="2" s="1"/>
  <c r="F5" i="2" s="1" a="1"/>
  <c r="F5" i="2" s="1"/>
  <c r="D18" i="2"/>
  <c r="E18" i="2"/>
  <c r="I18" i="2"/>
  <c r="J18" i="2"/>
  <c r="K18" i="2"/>
  <c r="L18" i="2"/>
  <c r="M18" i="2"/>
  <c r="N18" i="2"/>
  <c r="O18" i="2"/>
  <c r="D19" i="2"/>
  <c r="E19" i="2"/>
  <c r="I19" i="2"/>
  <c r="J19" i="2"/>
  <c r="K19" i="2"/>
  <c r="L19" i="2"/>
  <c r="M19" i="2"/>
  <c r="N19" i="2"/>
  <c r="O19" i="2"/>
  <c r="C19" i="2"/>
  <c r="C18" i="2"/>
  <c r="C4" i="2" a="1"/>
  <c r="C4" i="2" s="1"/>
  <c r="B22" i="2" s="1" a="1"/>
  <c r="B22" i="2" s="1"/>
  <c r="A2" i="3" a="1"/>
  <c r="A2" i="3" s="1"/>
  <c r="B4" i="1" a="1"/>
  <c r="B4" i="1" s="1"/>
  <c r="F9" i="2" l="1" a="1"/>
  <c r="F9" i="2" s="1"/>
  <c r="H12" i="2" a="1"/>
  <c r="H12" i="2" s="1"/>
  <c r="G7" i="2" a="1"/>
  <c r="G7" i="2" s="1"/>
  <c r="H6" i="2" a="1"/>
  <c r="H6" i="2" s="1"/>
  <c r="G6" i="2" a="1"/>
  <c r="G6" i="2" s="1"/>
  <c r="H5" i="2" a="1"/>
  <c r="H5" i="2" s="1"/>
  <c r="G5" i="2" a="1"/>
  <c r="G5" i="2" s="1"/>
  <c r="H9" i="2" a="1"/>
  <c r="H9" i="2" s="1"/>
  <c r="G9" i="2" a="1"/>
  <c r="G9" i="2" s="1"/>
  <c r="G12" i="2" a="1"/>
  <c r="G12" i="2" s="1"/>
  <c r="F8" i="2" a="1"/>
  <c r="F8" i="2" s="1"/>
  <c r="H11" i="2" a="1"/>
  <c r="H11" i="2" s="1"/>
  <c r="F7" i="2" a="1"/>
  <c r="F7" i="2" s="1"/>
  <c r="G11" i="2" a="1"/>
  <c r="G11" i="2" s="1"/>
  <c r="H8" i="2" a="1"/>
  <c r="H8" i="2" s="1"/>
  <c r="F13" i="2" a="1"/>
  <c r="F13" i="2" s="1"/>
  <c r="G14" i="2" a="1"/>
  <c r="G14" i="2" s="1"/>
  <c r="F12" i="2" a="1"/>
  <c r="F12" i="2" s="1"/>
  <c r="H13" i="2" a="1"/>
  <c r="H13" i="2" s="1"/>
  <c r="F11" i="2" a="1"/>
  <c r="F11" i="2" s="1"/>
  <c r="G13" i="2" a="1"/>
  <c r="G13" i="2" s="1"/>
  <c r="G8" i="2" a="1"/>
  <c r="G8" i="2" s="1"/>
  <c r="F6" i="2" a="1"/>
  <c r="F6" i="2" s="1"/>
  <c r="H10" i="2" a="1"/>
  <c r="H10" i="2" s="1"/>
  <c r="H15" i="2" a="1"/>
  <c r="H15" i="2" s="1"/>
  <c r="G10" i="2" a="1"/>
  <c r="G10" i="2" s="1"/>
  <c r="F15" i="2" a="1"/>
  <c r="F15" i="2" s="1"/>
  <c r="G15" i="2" a="1"/>
  <c r="G15" i="2" s="1"/>
  <c r="F14" i="2" a="1"/>
  <c r="F14" i="2" s="1"/>
  <c r="H14" i="2" a="1"/>
  <c r="H14" i="2" s="1"/>
  <c r="F10" i="2" a="1"/>
  <c r="F10" i="2" s="1"/>
  <c r="H7" i="2" a="1"/>
  <c r="H7" i="2" s="1"/>
  <c r="D6" i="2" a="1"/>
  <c r="D6" i="2" s="1"/>
  <c r="D7" i="2" a="1"/>
  <c r="D7" i="2" s="1"/>
  <c r="D8" i="2" a="1"/>
  <c r="D8" i="2" s="1"/>
  <c r="D9" i="2" a="1"/>
  <c r="D9" i="2" s="1"/>
  <c r="D10" i="2" a="1"/>
  <c r="D10" i="2" s="1"/>
  <c r="D11" i="2" a="1"/>
  <c r="D11" i="2" s="1"/>
  <c r="D12" i="2" a="1"/>
  <c r="D12" i="2" s="1"/>
  <c r="D13" i="2" a="1"/>
  <c r="D13" i="2" s="1"/>
  <c r="D14" i="2" a="1"/>
  <c r="D14" i="2" s="1"/>
  <c r="D15" i="2" a="1"/>
  <c r="D15" i="2" s="1"/>
  <c r="E11" i="2" a="1"/>
  <c r="E11" i="2" s="1"/>
  <c r="E13" i="2" a="1"/>
  <c r="E13" i="2" s="1"/>
  <c r="E15" i="2" a="1"/>
  <c r="E15" i="2" s="1"/>
  <c r="C6" i="2" a="1"/>
  <c r="C6" i="2" s="1"/>
  <c r="E6" i="2" a="1"/>
  <c r="E6" i="2" s="1"/>
  <c r="E7" i="2" a="1"/>
  <c r="E7" i="2" s="1"/>
  <c r="E8" i="2" a="1"/>
  <c r="E8" i="2" s="1"/>
  <c r="E9" i="2" a="1"/>
  <c r="E9" i="2" s="1"/>
  <c r="E10" i="2" a="1"/>
  <c r="E10" i="2" s="1"/>
  <c r="E12" i="2" a="1"/>
  <c r="E12" i="2" s="1"/>
  <c r="E14" i="2" a="1"/>
  <c r="E14" i="2" s="1"/>
  <c r="C8" i="2" a="1"/>
  <c r="C8" i="2" s="1"/>
  <c r="J15" i="2" a="1"/>
  <c r="J15" i="2" s="1"/>
  <c r="K10" i="2" a="1"/>
  <c r="K10" i="2" s="1"/>
  <c r="L14" i="2" a="1"/>
  <c r="L14" i="2" s="1"/>
  <c r="N8" i="2" a="1"/>
  <c r="N8" i="2" s="1"/>
  <c r="C15" i="2" a="1"/>
  <c r="C15" i="2" s="1"/>
  <c r="C9" i="2" a="1"/>
  <c r="C9" i="2" s="1"/>
  <c r="K11" i="2" a="1"/>
  <c r="K11" i="2" s="1"/>
  <c r="K15" i="2" a="1"/>
  <c r="K15" i="2" s="1"/>
  <c r="L13" i="2" a="1"/>
  <c r="L13" i="2" s="1"/>
  <c r="N9" i="2" a="1"/>
  <c r="N9" i="2" s="1"/>
  <c r="N15" i="2" a="1"/>
  <c r="N15" i="2" s="1"/>
  <c r="C7" i="2" a="1"/>
  <c r="C7" i="2" s="1"/>
  <c r="O14" i="2" a="1"/>
  <c r="O14" i="2" s="1"/>
  <c r="O13" i="2" a="1"/>
  <c r="O13" i="2" s="1"/>
  <c r="O12" i="2" a="1"/>
  <c r="O12" i="2" s="1"/>
  <c r="O11" i="2" a="1"/>
  <c r="O11" i="2" s="1"/>
  <c r="O10" i="2" a="1"/>
  <c r="O10" i="2" s="1"/>
  <c r="O9" i="2" a="1"/>
  <c r="O9" i="2" s="1"/>
  <c r="O8" i="2" a="1"/>
  <c r="O8" i="2" s="1"/>
  <c r="O7" i="2" a="1"/>
  <c r="O7" i="2" s="1"/>
  <c r="O6" i="2" a="1"/>
  <c r="O6" i="2" s="1"/>
  <c r="N10" i="2" a="1"/>
  <c r="N10" i="2" s="1"/>
  <c r="N7" i="2" a="1"/>
  <c r="N7" i="2" s="1"/>
  <c r="N6" i="2" a="1"/>
  <c r="N6" i="2" s="1"/>
  <c r="C14" i="2" a="1"/>
  <c r="C14" i="2" s="1"/>
  <c r="M15" i="2" a="1"/>
  <c r="M15" i="2" s="1"/>
  <c r="M14" i="2" a="1"/>
  <c r="M14" i="2" s="1"/>
  <c r="M13" i="2" a="1"/>
  <c r="M13" i="2" s="1"/>
  <c r="M12" i="2" a="1"/>
  <c r="M12" i="2" s="1"/>
  <c r="M11" i="2" a="1"/>
  <c r="M11" i="2" s="1"/>
  <c r="M10" i="2" a="1"/>
  <c r="M10" i="2" s="1"/>
  <c r="M9" i="2" a="1"/>
  <c r="M9" i="2" s="1"/>
  <c r="M8" i="2" a="1"/>
  <c r="M8" i="2" s="1"/>
  <c r="M7" i="2" a="1"/>
  <c r="M7" i="2" s="1"/>
  <c r="M6" i="2" a="1"/>
  <c r="M6" i="2" s="1"/>
  <c r="N14" i="2" a="1"/>
  <c r="N14" i="2" s="1"/>
  <c r="C13" i="2" a="1"/>
  <c r="C13" i="2" s="1"/>
  <c r="L11" i="2" a="1"/>
  <c r="L11" i="2" s="1"/>
  <c r="L9" i="2" a="1"/>
  <c r="L9" i="2" s="1"/>
  <c r="L8" i="2" a="1"/>
  <c r="L8" i="2" s="1"/>
  <c r="L7" i="2" a="1"/>
  <c r="L7" i="2" s="1"/>
  <c r="L6" i="2" a="1"/>
  <c r="L6" i="2" s="1"/>
  <c r="N12" i="2" a="1"/>
  <c r="N12" i="2" s="1"/>
  <c r="C12" i="2" a="1"/>
  <c r="C12" i="2" s="1"/>
  <c r="K12" i="2" a="1"/>
  <c r="K12" i="2" s="1"/>
  <c r="K8" i="2" a="1"/>
  <c r="K8" i="2" s="1"/>
  <c r="K7" i="2" a="1"/>
  <c r="K7" i="2" s="1"/>
  <c r="K6" i="2" a="1"/>
  <c r="K6" i="2" s="1"/>
  <c r="O15" i="2" a="1"/>
  <c r="O15" i="2" s="1"/>
  <c r="N13" i="2" a="1"/>
  <c r="N13" i="2" s="1"/>
  <c r="L15" i="2" a="1"/>
  <c r="L15" i="2" s="1"/>
  <c r="L10" i="2" a="1"/>
  <c r="L10" i="2" s="1"/>
  <c r="K13" i="2" a="1"/>
  <c r="K13" i="2" s="1"/>
  <c r="C11" i="2" a="1"/>
  <c r="C11" i="2" s="1"/>
  <c r="J14" i="2" a="1"/>
  <c r="J14" i="2" s="1"/>
  <c r="J13" i="2" a="1"/>
  <c r="J13" i="2" s="1"/>
  <c r="J12" i="2" a="1"/>
  <c r="J12" i="2" s="1"/>
  <c r="J11" i="2" a="1"/>
  <c r="J11" i="2" s="1"/>
  <c r="J10" i="2" a="1"/>
  <c r="J10" i="2" s="1"/>
  <c r="J9" i="2" a="1"/>
  <c r="J9" i="2" s="1"/>
  <c r="J8" i="2" a="1"/>
  <c r="J8" i="2" s="1"/>
  <c r="J7" i="2" a="1"/>
  <c r="J7" i="2" s="1"/>
  <c r="J6" i="2" a="1"/>
  <c r="J6" i="2" s="1"/>
  <c r="N11" i="2" a="1"/>
  <c r="N11" i="2" s="1"/>
  <c r="L12" i="2" a="1"/>
  <c r="L12" i="2" s="1"/>
  <c r="K14" i="2" a="1"/>
  <c r="K14" i="2" s="1"/>
  <c r="K9" i="2" a="1"/>
  <c r="K9" i="2" s="1"/>
  <c r="C10" i="2" a="1"/>
  <c r="C10" i="2" s="1"/>
  <c r="I15" i="2" a="1"/>
  <c r="I15" i="2" s="1"/>
  <c r="I14" i="2" a="1"/>
  <c r="I14" i="2" s="1"/>
  <c r="I13" i="2" a="1"/>
  <c r="I13" i="2" s="1"/>
  <c r="I12" i="2" a="1"/>
  <c r="I12" i="2" s="1"/>
  <c r="I11" i="2" a="1"/>
  <c r="I11" i="2" s="1"/>
  <c r="I10" i="2" a="1"/>
  <c r="I10" i="2" s="1"/>
  <c r="I9" i="2" a="1"/>
  <c r="I9" i="2" s="1"/>
  <c r="I8" i="2" a="1"/>
  <c r="I8" i="2" s="1"/>
  <c r="I7" i="2" a="1"/>
  <c r="I7" i="2" s="1"/>
  <c r="I6" i="2" a="1"/>
  <c r="I6" i="2" s="1"/>
  <c r="D5" i="2" l="1" a="1"/>
  <c r="D5" i="2" s="1"/>
  <c r="D17" i="2" s="1"/>
  <c r="E5" i="2" a="1"/>
  <c r="E5" i="2" s="1"/>
  <c r="E17" i="2" s="1"/>
  <c r="F17" i="2"/>
  <c r="G17" i="2"/>
  <c r="H17" i="2"/>
  <c r="I5" i="2" a="1"/>
  <c r="I5" i="2" s="1"/>
  <c r="I17" i="2" s="1"/>
  <c r="C5" i="2" a="1"/>
  <c r="C5" i="2" s="1"/>
  <c r="C17" i="2" s="1"/>
  <c r="J5" i="2" a="1"/>
  <c r="J5" i="2" s="1"/>
  <c r="J17" i="2" s="1"/>
  <c r="K5" i="2" a="1"/>
  <c r="K5" i="2" s="1"/>
  <c r="K17" i="2" s="1"/>
  <c r="L5" i="2" a="1"/>
  <c r="L5" i="2" s="1"/>
  <c r="L17" i="2" s="1"/>
  <c r="M5" i="2" a="1"/>
  <c r="M5" i="2" s="1"/>
  <c r="M17" i="2" s="1"/>
  <c r="N5" i="2" a="1"/>
  <c r="N5" i="2" s="1"/>
  <c r="N17" i="2" s="1"/>
  <c r="O5" i="2" a="1"/>
  <c r="O5" i="2" s="1"/>
  <c r="O1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<sst xmlns="http://schemas.openxmlformats.org/spreadsheetml/2006/main" count="187" uniqueCount="58">
  <si>
    <t>SPI</t>
  </si>
  <si>
    <t>Extra sources</t>
  </si>
  <si>
    <t>Primary School Enrollment (% of pop in school age)</t>
  </si>
  <si>
    <t>Daily Calorie supply (kcal / day / person)</t>
  </si>
  <si>
    <t>Protein supply (g/ day/ person)</t>
  </si>
  <si>
    <t>Healthy life expectancy (HALE)</t>
  </si>
  <si>
    <t>Safely Managed Drinking Water (% of pop)</t>
  </si>
  <si>
    <t xml:space="preserve">Safely Managed Sanitation (% of people) </t>
  </si>
  <si>
    <t>Physicians per 1000</t>
  </si>
  <si>
    <t>Hospital beds per 1000</t>
  </si>
  <si>
    <t>Clean Fuels</t>
  </si>
  <si>
    <t>Share slums  (Share of urban population living in slums)</t>
  </si>
  <si>
    <t>Intentional homicide victims</t>
  </si>
  <si>
    <t>FWB</t>
  </si>
  <si>
    <t>BHN</t>
  </si>
  <si>
    <t>OPP</t>
  </si>
  <si>
    <t>DLS dimension</t>
  </si>
  <si>
    <t>Related DLS dimension</t>
  </si>
  <si>
    <t>Food &amp; Nutrition</t>
  </si>
  <si>
    <t>Housing</t>
  </si>
  <si>
    <t>Thermal comfort</t>
  </si>
  <si>
    <t>Food preparation</t>
  </si>
  <si>
    <t>Water</t>
  </si>
  <si>
    <t>Education</t>
  </si>
  <si>
    <t>Sanitation</t>
  </si>
  <si>
    <t>Health Care</t>
  </si>
  <si>
    <t>Social connectedness</t>
  </si>
  <si>
    <t>Physical Connectedness</t>
  </si>
  <si>
    <t>Unrepresented</t>
  </si>
  <si>
    <t>Coverage in clustering experiments</t>
  </si>
  <si>
    <t>Available indicators</t>
  </si>
  <si>
    <t>BHN_FWB</t>
  </si>
  <si>
    <t>BHN_FWB_AllExt</t>
  </si>
  <si>
    <t>Number  of indicators</t>
  </si>
  <si>
    <t>Of which SPI</t>
  </si>
  <si>
    <t>Of which Extended</t>
  </si>
  <si>
    <t>Non material / Non-DLS</t>
  </si>
  <si>
    <t>No_non_DLS</t>
  </si>
  <si>
    <t>Only_%_of_pop</t>
  </si>
  <si>
    <t>First test run</t>
  </si>
  <si>
    <t>Few_indicators_closest_DLS_coverage</t>
  </si>
  <si>
    <t>Few indicators_SPI_preferred</t>
  </si>
  <si>
    <t>Before run</t>
  </si>
  <si>
    <t>After run</t>
  </si>
  <si>
    <t>Only BHN, FWB  and all extended variables to cluster the countries. Higher amount of missingness may cause unstable clusters. All possible DLS dimensions are covered.</t>
  </si>
  <si>
    <t>Only BHN and FWB from SPI to cluster the countries. Low amount of missingness high stability of clusters is expected between imputed sets. Housing dimension is lacking</t>
  </si>
  <si>
    <t>Clustering where all variables that are not directly related to DLS dimensions are excluded, but all others are included</t>
  </si>
  <si>
    <t>Automatic table based on "Experiments"</t>
  </si>
  <si>
    <t>Choosing as few indicators as possible to cover DLS dimensions. Indicators are chosen so that they align most with the indicators presented in the subnational study. Redundancy is avoided. High missingness may cause problems</t>
  </si>
  <si>
    <t>Choosing as few indicators as possible to cover DLS dimensions. Indicators are chosen from SPI if possiblle to avoid missing data porblems. Redundancy is avoided.</t>
  </si>
  <si>
    <t>Thoughts</t>
  </si>
  <si>
    <t>Available Indicator (1 indicates that the indicator is included)</t>
  </si>
  <si>
    <t>Add new here</t>
  </si>
  <si>
    <t>Clustering that only includes indicators that describes attainment as a proportion of population. This will provide clusters where we can easily determine national DLS coverage afterwards.</t>
  </si>
  <si>
    <t>Read me</t>
  </si>
  <si>
    <t/>
  </si>
  <si>
    <t>Sheet "Experiment descriptions" holds an overview of the different experiemnts. The table to the left should not be touched, but comments to experiments can be written in the blue table below.
Sheet "Experiments" is where the exact indicators going into the experiments can be found. New experiments can be created by adding a new column with 0s and 1s denoting which indicators should be included. 
Sheet "Overview of indicators and DLS" shows my evaluation of our indicators' relation to DLS.</t>
  </si>
  <si>
    <t>Physical connectedness (mobility) is not well represented globally through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</si>
</sst>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5"/>
        <bgColor indexed="64"/>
      </patternFill>
    </fill>
    <fill>
      <patternFill patternType="solid">
        <fgColor theme="3" tint="0.499984740745262"/>
        <bgColor indexed="64"/>
      </patternFill>
    </fill>
    <fill>
      <patternFill patternType="solid">
        <fgColor theme="9"/>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0" tint="-0.249977111117893"/>
        <bgColor indexed="64"/>
      </patternFill>
    </fill>
  </fills>
  <borders count="5">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28">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1" fillId="5" borderId="0" xfId="0" applyFont="1" applyFill="1"/>
    <xf numFmtId="0" fontId="0" fillId="6" borderId="0" xfId="0" applyFill="1"/>
    <xf numFmtId="0" fontId="0" fillId="6" borderId="1" xfId="0" applyFill="1" applyBorder="1"/>
    <xf numFmtId="0" fontId="0" fillId="7" borderId="0" xfId="0" applyFill="1"/>
    <xf numFmtId="0" fontId="0" fillId="7" borderId="0" xfId="0" applyFill="1" applyAlignment="1">
      <alignment textRotation="90"/>
    </xf>
    <xf numFmtId="0" fontId="0" fillId="7" borderId="2" xfId="0" applyFill="1" applyBorder="1" applyAlignment="1">
      <alignment textRotation="90"/>
    </xf>
    <xf numFmtId="0" fontId="0" fillId="7" borderId="2" xfId="0" applyFill="1" applyBorder="1"/>
    <xf numFmtId="0" fontId="0" fillId="7" borderId="1" xfId="0" applyFill="1" applyBorder="1"/>
    <xf numFmtId="0" fontId="0" fillId="7" borderId="3" xfId="0" applyFill="1" applyBorder="1"/>
    <xf numFmtId="0" fontId="1" fillId="7" borderId="0" xfId="0" applyFont="1" applyFill="1"/>
    <xf numFmtId="0" fontId="1" fillId="7" borderId="2" xfId="0" applyFont="1" applyFill="1" applyBorder="1"/>
    <xf numFmtId="0" fontId="0" fillId="0" borderId="0" xfId="0" quotePrefix="1"/>
    <xf numFmtId="0" fontId="1" fillId="5" borderId="0" xfId="0" applyFont="1" applyFill="1" applyAlignment="1">
      <alignment horizontal="center"/>
    </xf>
    <xf numFmtId="0" fontId="0" fillId="6" borderId="1" xfId="0" applyFill="1" applyBorder="1" applyAlignment="1">
      <alignment wrapText="1"/>
    </xf>
    <xf numFmtId="0" fontId="0" fillId="6" borderId="0" xfId="0" applyFill="1" applyAlignment="1">
      <alignment horizontal="left" wrapText="1"/>
    </xf>
    <xf numFmtId="0" fontId="0" fillId="6" borderId="0" xfId="0" applyFill="1" applyAlignment="1">
      <alignment horizontal="left"/>
    </xf>
    <xf numFmtId="0" fontId="0" fillId="5" borderId="0" xfId="0" applyFill="1" applyAlignment="1">
      <alignment horizontal="left"/>
    </xf>
    <xf numFmtId="0" fontId="0" fillId="6" borderId="4" xfId="0" applyFill="1" applyBorder="1" applyAlignment="1">
      <alignment horizontal="center"/>
    </xf>
    <xf numFmtId="0" fontId="0" fillId="6" borderId="1" xfId="0" applyFill="1" applyBorder="1" applyAlignment="1">
      <alignment horizontal="left" wrapText="1"/>
    </xf>
    <xf numFmtId="0" fontId="0" fillId="6" borderId="1" xfId="0" applyFill="1" applyBorder="1" applyAlignment="1">
      <alignment horizontal="center" wrapText="1"/>
    </xf>
    <xf numFmtId="0" fontId="1" fillId="7" borderId="0" xfId="0" applyFont="1" applyFill="1" applyAlignment="1">
      <alignment horizontal="center"/>
    </xf>
    <xf numFmtId="0" fontId="1" fillId="7" borderId="2" xfId="0" applyFont="1" applyFill="1" applyBorder="1" applyAlignment="1">
      <alignment horizontal="center"/>
    </xf>
    <xf numFmtId="0" fontId="0" fillId="6" borderId="0" xfId="0" applyFill="1" applyAlignment="1">
      <alignment horizontal="center"/>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c3256d208fb6548/Personlig/Aske%20Banke%20Consultancy/YALE/Metodeartikel_WorldDevelopmentJournal/WorldDevelopmentArticleGit/Data/SPI%20Time%20Series%201990-2020%20data%20file.xlsx" TargetMode="External"/><Relationship Id="rId1" Type="http://schemas.openxmlformats.org/officeDocument/2006/relationships/externalLinkPath" Target="Data/SPI%20Time%20Series%201990-2020%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 NOTES"/>
      <sheetName val="1990-2020 Time-series data"/>
      <sheetName val="Indicator definitions"/>
    </sheetNames>
    <sheetDataSet>
      <sheetData sheetId="0"/>
      <sheetData sheetId="1">
        <row r="2">
          <cell r="Y2" t="str">
            <v xml:space="preserve">Child stunting (% of pop.) </v>
          </cell>
          <cell r="Z2" t="str">
            <v>Deaths from infectious diseases (deaths/100,000)</v>
          </cell>
          <cell r="AA2" t="str">
            <v xml:space="preserve">Maternal mortality  (deaths/100,000 live births) </v>
          </cell>
          <cell r="AB2" t="str">
            <v xml:space="preserve">Nutritional deficiencies (% of pop.) </v>
          </cell>
          <cell r="AC2" t="str">
            <v xml:space="preserve">Diet low in fruits and vegetables (0=low risk; 100=high risk) </v>
          </cell>
          <cell r="AD2" t="str">
            <v xml:space="preserve">Child mortality (deaths/1,000 live births) </v>
          </cell>
          <cell r="AE2" t="str">
            <v xml:space="preserve">No access to a handwashing facility (0=low risk; 100=high risk) </v>
          </cell>
          <cell r="AF2" t="str">
            <v>Deaths from unsafe water, sanitation and hygiene (deaths/100,000)</v>
          </cell>
          <cell r="AG2" t="str">
            <v xml:space="preserve">Improved sanitation (proportion of pop.) </v>
          </cell>
          <cell r="AH2" t="str">
            <v xml:space="preserve">Improved water source (proportion of pop.) </v>
          </cell>
          <cell r="AI2" t="str">
            <v>Deaths from household air pollution (deaths/100,000)</v>
          </cell>
          <cell r="AJ2" t="str">
            <v xml:space="preserve">Prevalence of cooking with coal/biomass (proportion of pop.) </v>
          </cell>
          <cell r="AK2" t="str">
            <v xml:space="preserve">Access to electricity (% of pop.) </v>
          </cell>
          <cell r="AL2" t="str">
            <v>Deaths from road injuries (deaths/100,000)</v>
          </cell>
          <cell r="AM2" t="str">
            <v xml:space="preserve">Political violence (0=no violence; 4=violence often) </v>
          </cell>
          <cell r="AN2" t="str">
            <v>Political killings and torture (0=low freedom; 1=high freedom)</v>
          </cell>
          <cell r="AO2" t="str">
            <v xml:space="preserve">Intimate partner violence against women (% of women aged 15+) </v>
          </cell>
          <cell r="AP2" t="str">
            <v>Interpersonal violence  (deaths/100,000)</v>
          </cell>
          <cell r="AQ2" t="str">
            <v xml:space="preserve">Population with no education (proportion of pop.) </v>
          </cell>
          <cell r="AR2" t="str">
            <v xml:space="preserve">Gender parity in basic education (distance from parity) </v>
          </cell>
          <cell r="AS2" t="str">
            <v xml:space="preserve">Equal access to quality education (0=unequal; 4=equal) </v>
          </cell>
          <cell r="AT2" t="str">
            <v>Mean years of schooling (years)</v>
          </cell>
          <cell r="AU2" t="str">
            <v>Alternative sources of information (0=low; 1=high)</v>
          </cell>
          <cell r="AV2" t="str">
            <v xml:space="preserve">Internet users (% of pop.) </v>
          </cell>
          <cell r="AW2" t="str">
            <v xml:space="preserve">Mobile and landline telephone subscriptions (subscriptions/100 people) </v>
          </cell>
          <cell r="AX2" t="str">
            <v>Life expectancy at 60 (years)</v>
          </cell>
          <cell r="AY2" t="str">
            <v>Premature deaths from non-communicable diseases (deaths/100,000)</v>
          </cell>
          <cell r="AZ2" t="str">
            <v xml:space="preserve">Equal access to quality healthcare (0=unequal; 4=equal) </v>
          </cell>
          <cell r="BA2" t="str">
            <v xml:space="preserve">Universal health coverage (% of pop.) </v>
          </cell>
          <cell r="BB2" t="str">
            <v>Deaths from outdoor air pollution (deaths/100,000)</v>
          </cell>
          <cell r="BC2" t="str">
            <v>Particulate matter (2.5) pollution (mean annual exposure, µg/m3)</v>
          </cell>
          <cell r="BD2" t="str">
            <v>Deaths from lead exposure (deaths/100,000)</v>
          </cell>
          <cell r="BE2" t="str">
            <v>Species protection (0=low; 100=high)</v>
          </cell>
          <cell r="BF2" t="str">
            <v xml:space="preserve">Freedom of religion (0=no freedom; 4=full freedom) </v>
          </cell>
          <cell r="BG2" t="str">
            <v xml:space="preserve">Property rights for women (0=no rights; 5=full rights) </v>
          </cell>
          <cell r="BH2" t="str">
            <v xml:space="preserve">Freedom of assembly (0=no freedom; 4=full freedom) </v>
          </cell>
          <cell r="BI2" t="str">
            <v>Access to justice (0=nonexistent; 1=observed)</v>
          </cell>
          <cell r="BJ2" t="str">
            <v>Freedom of discussion (0=low; 1=high)</v>
          </cell>
          <cell r="BK2" t="str">
            <v>Political rights (1=full rights; 7=no rights)</v>
          </cell>
          <cell r="BL2" t="str">
            <v>Public sector corruption (0=low corruption; 1=high corruption)</v>
          </cell>
          <cell r="BM2" t="str">
            <v>Freedom of domestic movement (0=low; 1=high)</v>
          </cell>
          <cell r="BN2" t="str">
            <v>Satisfied demand for contraception (% satisfied demand)</v>
          </cell>
          <cell r="BO2" t="str">
            <v>Early marriage (% of married women aged 15-19)</v>
          </cell>
          <cell r="BP2" t="str">
            <v xml:space="preserve">Vulnerable employment (% of total employment) </v>
          </cell>
          <cell r="BQ2" t="str">
            <v>Equal protection of social groups (0=low; 1=high)</v>
          </cell>
          <cell r="BR2" t="str">
            <v>Equal access to power (0=low; 1=high)</v>
          </cell>
          <cell r="BS2" t="str">
            <v xml:space="preserve">Power distributed by sexual orientation (0=extremely unequal; 3=equal) </v>
          </cell>
          <cell r="BT2" t="str">
            <v xml:space="preserve">Access to public services distributed by social group (0=extremely unequal; 4=equal) </v>
          </cell>
          <cell r="BU2" t="str">
            <v xml:space="preserve">Population with advanced education (proportion of pop.) </v>
          </cell>
          <cell r="BV2" t="str">
            <v xml:space="preserve">Gender parity in advanced education (distance from parity) </v>
          </cell>
          <cell r="BW2" t="str">
            <v>Respect for academic freedom (0=low; 1=high)</v>
          </cell>
          <cell r="BX2" t="str">
            <v>Years of tertiary schooling (years)</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D2FE-8ED6-42BE-A2D0-9D14C5AD2AFE}">
  <sheetPr>
    <tabColor theme="2" tint="-0.249977111117893"/>
  </sheetPr>
  <dimension ref="A1:V35"/>
  <sheetViews>
    <sheetView tabSelected="1" topLeftCell="A19" workbookViewId="0">
      <selection activeCell="X9" sqref="X9"/>
    </sheetView>
  </sheetViews>
  <sheetFormatPr defaultRowHeight="14.4" x14ac:dyDescent="0.3"/>
  <cols>
    <col min="2" max="2" width="35.33203125" customWidth="1"/>
    <col min="4" max="4" width="6" customWidth="1"/>
    <col min="5" max="16" width="4.33203125" customWidth="1"/>
    <col min="19" max="19" width="8.88671875" customWidth="1"/>
  </cols>
  <sheetData>
    <row r="1" spans="1:22" x14ac:dyDescent="0.3">
      <c r="A1" s="1" t="s">
        <v>29</v>
      </c>
    </row>
    <row r="3" spans="1:22" x14ac:dyDescent="0.3">
      <c r="B3" s="11" t="s">
        <v>47</v>
      </c>
      <c r="C3" s="25" t="s">
        <v>39</v>
      </c>
      <c r="D3" s="25"/>
      <c r="E3" s="25"/>
      <c r="F3" s="25"/>
      <c r="G3" s="25"/>
      <c r="H3" s="26"/>
      <c r="I3" s="8"/>
      <c r="J3" s="8"/>
      <c r="K3" s="8"/>
      <c r="L3" s="8"/>
      <c r="M3" s="8"/>
      <c r="N3" s="8"/>
      <c r="O3" s="8"/>
      <c r="R3" s="21" t="s">
        <v>54</v>
      </c>
      <c r="S3" s="21"/>
      <c r="T3" s="21"/>
      <c r="U3" s="21"/>
      <c r="V3" s="21"/>
    </row>
    <row r="4" spans="1:22" ht="221.4" customHeight="1" x14ac:dyDescent="0.3">
      <c r="B4" s="15" t="s">
        <v>16</v>
      </c>
      <c r="C4" s="9" t="str" cm="1">
        <f t="array" ref="C4:P4">Experiments!C1:P1</f>
        <v>BHN_FWB</v>
      </c>
      <c r="D4" s="9" t="str">
        <v>BHN_FWB_AllExt</v>
      </c>
      <c r="E4" s="9" t="str">
        <v>Few_indicators_closest_DLS_coverage</v>
      </c>
      <c r="F4" s="9" t="str">
        <v>Few indicators_SPI_preferred</v>
      </c>
      <c r="G4" s="9" t="str">
        <v>No_non_DLS</v>
      </c>
      <c r="H4" s="10" t="str">
        <v>Only_%_of_pop</v>
      </c>
      <c r="I4" s="9" t="str">
        <v>Add new here</v>
      </c>
      <c r="J4" s="9">
        <v>0</v>
      </c>
      <c r="K4" s="9">
        <v>0</v>
      </c>
      <c r="L4" s="9">
        <v>0</v>
      </c>
      <c r="M4" s="9">
        <v>0</v>
      </c>
      <c r="N4" s="9">
        <v>0</v>
      </c>
      <c r="O4" s="9">
        <v>0</v>
      </c>
      <c r="P4">
        <v>0</v>
      </c>
      <c r="R4" s="19" t="s">
        <v>56</v>
      </c>
      <c r="S4" s="20"/>
      <c r="T4" s="20"/>
      <c r="U4" s="20"/>
      <c r="V4" s="20"/>
    </row>
    <row r="5" spans="1:22" x14ac:dyDescent="0.3">
      <c r="B5" s="11" t="str" cm="1">
        <f t="array" ref="B5:B15">_xlfn.UNIQUE('Overview of indicators and DLS'!C4:C67)</f>
        <v>Food &amp; Nutrition</v>
      </c>
      <c r="C5" s="8" cm="1">
        <f t="array" ref="C5">SUMPRODUCT(('Overview of indicators and DLS'!$C$4:$C$66=$B5)*(Experiments!C$2:C$64=1))</f>
        <v>3</v>
      </c>
      <c r="D5" s="8" cm="1">
        <f t="array" ref="D5">SUMPRODUCT(('Overview of indicators and DLS'!$C$4:$C$66=$B5)*(Experiments!D$2:D$64=1))</f>
        <v>5</v>
      </c>
      <c r="E5" s="8" cm="1">
        <f t="array" ref="E5">SUMPRODUCT(('Overview of indicators and DLS'!$C$4:$C$66=$B5)*(Experiments!E$2:E$64=1))</f>
        <v>1</v>
      </c>
      <c r="F5" s="8" cm="1">
        <f t="array" ref="F5">SUMPRODUCT(('Overview of indicators and DLS'!$C$4:$C$66=$B5)*(Experiments!F$2:F$64=1))</f>
        <v>1</v>
      </c>
      <c r="G5" s="8" cm="1">
        <f t="array" ref="G5">SUMPRODUCT(('Overview of indicators and DLS'!$C$4:$C$66=$B5)*(Experiments!G$2:G$64=1))</f>
        <v>5</v>
      </c>
      <c r="H5" s="11" cm="1">
        <f t="array" ref="H5">SUMPRODUCT(('Overview of indicators and DLS'!$C$4:$C$66=$B5)*(Experiments!H$2:H$64=1))</f>
        <v>2</v>
      </c>
      <c r="I5" s="8" cm="1">
        <f t="array" ref="I5">SUMPRODUCT(('Overview of indicators and DLS'!$C$4:$C$66=$B5)*(Experiments!J$2:J$64=1))</f>
        <v>0</v>
      </c>
      <c r="J5" s="8" cm="1">
        <f t="array" ref="J5">SUMPRODUCT(('Overview of indicators and DLS'!$C$4:$C$66=$B5)*(Experiments!K$2:K$64=1))</f>
        <v>0</v>
      </c>
      <c r="K5" s="8" cm="1">
        <f t="array" ref="K5">SUMPRODUCT(('Overview of indicators and DLS'!$C$4:$C$66=$B5)*(Experiments!L$2:L$64=1))</f>
        <v>0</v>
      </c>
      <c r="L5" s="8" cm="1">
        <f t="array" ref="L5">SUMPRODUCT(('Overview of indicators and DLS'!$C$4:$C$66=$B5)*(Experiments!M$2:M$64=1))</f>
        <v>0</v>
      </c>
      <c r="M5" s="8" cm="1">
        <f t="array" ref="M5">SUMPRODUCT(('Overview of indicators and DLS'!$C$4:$C$66=$B5)*(Experiments!N$2:N$64=1))</f>
        <v>0</v>
      </c>
      <c r="N5" s="8" cm="1">
        <f t="array" ref="N5">SUMPRODUCT(('Overview of indicators and DLS'!$C$4:$C$66=$B5)*(Experiments!O$2:O$64=1))</f>
        <v>0</v>
      </c>
      <c r="O5" s="8" cm="1">
        <f t="array" ref="O5">SUMPRODUCT(('Overview of indicators and DLS'!$C$4:$C$66=$B5)*(Experiments!P$2:P$64=1))</f>
        <v>0</v>
      </c>
      <c r="R5" s="16" t="s">
        <v>55</v>
      </c>
    </row>
    <row r="6" spans="1:22" ht="14.4" customHeight="1" x14ac:dyDescent="0.3">
      <c r="B6" s="11" t="str">
        <v>Health Care</v>
      </c>
      <c r="C6" s="8" cm="1">
        <f t="array" ref="C6">SUMPRODUCT(('Overview of indicators and DLS'!$C$4:$C$66=$B6)*(Experiments!C$2:C$64=1))</f>
        <v>7</v>
      </c>
      <c r="D6" s="8" cm="1">
        <f t="array" ref="D6">SUMPRODUCT(('Overview of indicators and DLS'!$C$4:$C$66=$B6)*(Experiments!D$2:D$64=1))</f>
        <v>10</v>
      </c>
      <c r="E6" s="8" cm="1">
        <f t="array" ref="E6">SUMPRODUCT(('Overview of indicators and DLS'!$C$4:$C$66=$B6)*(Experiments!E$2:E$64=1))</f>
        <v>1</v>
      </c>
      <c r="F6" s="8" cm="1">
        <f t="array" ref="F6">SUMPRODUCT(('Overview of indicators and DLS'!$C$4:$C$66=$B6)*(Experiments!F$2:F$64=1))</f>
        <v>1</v>
      </c>
      <c r="G6" s="8" cm="1">
        <f t="array" ref="G6">SUMPRODUCT(('Overview of indicators and DLS'!$C$4:$C$66=$B6)*(Experiments!G$2:G$64=1))</f>
        <v>10</v>
      </c>
      <c r="H6" s="11" cm="1">
        <f t="array" ref="H6">SUMPRODUCT(('Overview of indicators and DLS'!$C$4:$C$66=$B6)*(Experiments!H$2:H$64=1))</f>
        <v>1</v>
      </c>
      <c r="I6" s="8" cm="1">
        <f t="array" ref="I6">SUMPRODUCT(('Overview of indicators and DLS'!$C$4:$C$66=$B6)*(Experiments!J$2:J$64=1))</f>
        <v>0</v>
      </c>
      <c r="J6" s="8" cm="1">
        <f t="array" ref="J6">SUMPRODUCT(('Overview of indicators and DLS'!$C$4:$C$66=$B6)*(Experiments!K$2:K$64=1))</f>
        <v>0</v>
      </c>
      <c r="K6" s="8" cm="1">
        <f t="array" ref="K6">SUMPRODUCT(('Overview of indicators and DLS'!$C$4:$C$66=$B6)*(Experiments!L$2:L$64=1))</f>
        <v>0</v>
      </c>
      <c r="L6" s="8" cm="1">
        <f t="array" ref="L6">SUMPRODUCT(('Overview of indicators and DLS'!$C$4:$C$66=$B6)*(Experiments!M$2:M$64=1))</f>
        <v>0</v>
      </c>
      <c r="M6" s="8" cm="1">
        <f t="array" ref="M6">SUMPRODUCT(('Overview of indicators and DLS'!$C$4:$C$66=$B6)*(Experiments!N$2:N$64=1))</f>
        <v>0</v>
      </c>
      <c r="N6" s="8" cm="1">
        <f t="array" ref="N6">SUMPRODUCT(('Overview of indicators and DLS'!$C$4:$C$66=$B6)*(Experiments!O$2:O$64=1))</f>
        <v>0</v>
      </c>
      <c r="O6" s="8" cm="1">
        <f t="array" ref="O6">SUMPRODUCT(('Overview of indicators and DLS'!$C$4:$C$66=$B6)*(Experiments!P$2:P$64=1))</f>
        <v>0</v>
      </c>
    </row>
    <row r="7" spans="1:22" ht="14.4" customHeight="1" x14ac:dyDescent="0.3">
      <c r="B7" s="11" t="str">
        <v>Water</v>
      </c>
      <c r="C7" s="8" cm="1">
        <f t="array" ref="C7">SUMPRODUCT(('Overview of indicators and DLS'!$C$4:$C$66=$B7)*(Experiments!C$2:C$64=1))</f>
        <v>3</v>
      </c>
      <c r="D7" s="8" cm="1">
        <f t="array" ref="D7">SUMPRODUCT(('Overview of indicators and DLS'!$C$4:$C$66=$B7)*(Experiments!D$2:D$64=1))</f>
        <v>4</v>
      </c>
      <c r="E7" s="8" cm="1">
        <f t="array" ref="E7">SUMPRODUCT(('Overview of indicators and DLS'!$C$4:$C$66=$B7)*(Experiments!E$2:E$64=1))</f>
        <v>2</v>
      </c>
      <c r="F7" s="8" cm="1">
        <f t="array" ref="F7">SUMPRODUCT(('Overview of indicators and DLS'!$C$4:$C$66=$B7)*(Experiments!F$2:F$64=1))</f>
        <v>2</v>
      </c>
      <c r="G7" s="8" cm="1">
        <f t="array" ref="G7">SUMPRODUCT(('Overview of indicators and DLS'!$C$4:$C$66=$B7)*(Experiments!G$2:G$64=1))</f>
        <v>4</v>
      </c>
      <c r="H7" s="11" cm="1">
        <f t="array" ref="H7">SUMPRODUCT(('Overview of indicators and DLS'!$C$4:$C$66=$B7)*(Experiments!H$2:H$64=1))</f>
        <v>1</v>
      </c>
      <c r="I7" s="8" cm="1">
        <f t="array" ref="I7">SUMPRODUCT(('Overview of indicators and DLS'!$C$4:$C$66=$B7)*(Experiments!J$2:J$64=1))</f>
        <v>0</v>
      </c>
      <c r="J7" s="8" cm="1">
        <f t="array" ref="J7">SUMPRODUCT(('Overview of indicators and DLS'!$C$4:$C$66=$B7)*(Experiments!K$2:K$64=1))</f>
        <v>0</v>
      </c>
      <c r="K7" s="8" cm="1">
        <f t="array" ref="K7">SUMPRODUCT(('Overview of indicators and DLS'!$C$4:$C$66=$B7)*(Experiments!L$2:L$64=1))</f>
        <v>0</v>
      </c>
      <c r="L7" s="8" cm="1">
        <f t="array" ref="L7">SUMPRODUCT(('Overview of indicators and DLS'!$C$4:$C$66=$B7)*(Experiments!M$2:M$64=1))</f>
        <v>0</v>
      </c>
      <c r="M7" s="8" cm="1">
        <f t="array" ref="M7">SUMPRODUCT(('Overview of indicators and DLS'!$C$4:$C$66=$B7)*(Experiments!N$2:N$64=1))</f>
        <v>0</v>
      </c>
      <c r="N7" s="8" cm="1">
        <f t="array" ref="N7">SUMPRODUCT(('Overview of indicators and DLS'!$C$4:$C$66=$B7)*(Experiments!O$2:O$64=1))</f>
        <v>0</v>
      </c>
      <c r="O7" s="8" cm="1">
        <f t="array" ref="O7">SUMPRODUCT(('Overview of indicators and DLS'!$C$4:$C$66=$B7)*(Experiments!P$2:P$64=1))</f>
        <v>0</v>
      </c>
    </row>
    <row r="8" spans="1:22" ht="14.4" customHeight="1" x14ac:dyDescent="0.3">
      <c r="B8" s="11" t="str">
        <v>Sanitation</v>
      </c>
      <c r="C8" s="8" cm="1">
        <f t="array" ref="C8">SUMPRODUCT(('Overview of indicators and DLS'!$C$4:$C$66=$B8)*(Experiments!C$2:C$64=1))</f>
        <v>1</v>
      </c>
      <c r="D8" s="8" cm="1">
        <f t="array" ref="D8">SUMPRODUCT(('Overview of indicators and DLS'!$C$4:$C$66=$B8)*(Experiments!D$2:D$64=1))</f>
        <v>2</v>
      </c>
      <c r="E8" s="8" cm="1">
        <f t="array" ref="E8">SUMPRODUCT(('Overview of indicators and DLS'!$C$4:$C$66=$B8)*(Experiments!E$2:E$64=1))</f>
        <v>1</v>
      </c>
      <c r="F8" s="8" cm="1">
        <f t="array" ref="F8">SUMPRODUCT(('Overview of indicators and DLS'!$C$4:$C$66=$B8)*(Experiments!F$2:F$64=1))</f>
        <v>1</v>
      </c>
      <c r="G8" s="8" cm="1">
        <f t="array" ref="G8">SUMPRODUCT(('Overview of indicators and DLS'!$C$4:$C$66=$B8)*(Experiments!G$2:G$64=1))</f>
        <v>2</v>
      </c>
      <c r="H8" s="11" cm="1">
        <f t="array" ref="H8">SUMPRODUCT(('Overview of indicators and DLS'!$C$4:$C$66=$B8)*(Experiments!H$2:H$64=1))</f>
        <v>1</v>
      </c>
      <c r="I8" s="8" cm="1">
        <f t="array" ref="I8">SUMPRODUCT(('Overview of indicators and DLS'!$C$4:$C$66=$B8)*(Experiments!J$2:J$64=1))</f>
        <v>0</v>
      </c>
      <c r="J8" s="8" cm="1">
        <f t="array" ref="J8">SUMPRODUCT(('Overview of indicators and DLS'!$C$4:$C$66=$B8)*(Experiments!K$2:K$64=1))</f>
        <v>0</v>
      </c>
      <c r="K8" s="8" cm="1">
        <f t="array" ref="K8">SUMPRODUCT(('Overview of indicators and DLS'!$C$4:$C$66=$B8)*(Experiments!L$2:L$64=1))</f>
        <v>0</v>
      </c>
      <c r="L8" s="8" cm="1">
        <f t="array" ref="L8">SUMPRODUCT(('Overview of indicators and DLS'!$C$4:$C$66=$B8)*(Experiments!M$2:M$64=1))</f>
        <v>0</v>
      </c>
      <c r="M8" s="8" cm="1">
        <f t="array" ref="M8">SUMPRODUCT(('Overview of indicators and DLS'!$C$4:$C$66=$B8)*(Experiments!N$2:N$64=1))</f>
        <v>0</v>
      </c>
      <c r="N8" s="8" cm="1">
        <f t="array" ref="N8">SUMPRODUCT(('Overview of indicators and DLS'!$C$4:$C$66=$B8)*(Experiments!O$2:O$64=1))</f>
        <v>0</v>
      </c>
      <c r="O8" s="8" cm="1">
        <f t="array" ref="O8">SUMPRODUCT(('Overview of indicators and DLS'!$C$4:$C$66=$B8)*(Experiments!P$2:P$64=1))</f>
        <v>0</v>
      </c>
    </row>
    <row r="9" spans="1:22" ht="14.4" customHeight="1" x14ac:dyDescent="0.3">
      <c r="B9" s="11" t="str">
        <v>Food preparation</v>
      </c>
      <c r="C9" s="8" cm="1">
        <f t="array" ref="C9">SUMPRODUCT(('Overview of indicators and DLS'!$C$4:$C$66=$B9)*(Experiments!C$2:C$64=1))</f>
        <v>2</v>
      </c>
      <c r="D9" s="8" cm="1">
        <f t="array" ref="D9">SUMPRODUCT(('Overview of indicators and DLS'!$C$4:$C$66=$B9)*(Experiments!D$2:D$64=1))</f>
        <v>3</v>
      </c>
      <c r="E9" s="8" cm="1">
        <f t="array" ref="E9">SUMPRODUCT(('Overview of indicators and DLS'!$C$4:$C$66=$B9)*(Experiments!E$2:E$64=1))</f>
        <v>1</v>
      </c>
      <c r="F9" s="8" cm="1">
        <f t="array" ref="F9">SUMPRODUCT(('Overview of indicators and DLS'!$C$4:$C$66=$B9)*(Experiments!F$2:F$64=1))</f>
        <v>1</v>
      </c>
      <c r="G9" s="8" cm="1">
        <f t="array" ref="G9">SUMPRODUCT(('Overview of indicators and DLS'!$C$4:$C$66=$B9)*(Experiments!G$2:G$64=1))</f>
        <v>3</v>
      </c>
      <c r="H9" s="11" cm="1">
        <f t="array" ref="H9">SUMPRODUCT(('Overview of indicators and DLS'!$C$4:$C$66=$B9)*(Experiments!H$2:H$64=1))</f>
        <v>1</v>
      </c>
      <c r="I9" s="8" cm="1">
        <f t="array" ref="I9">SUMPRODUCT(('Overview of indicators and DLS'!$C$4:$C$66=$B9)*(Experiments!J$2:J$64=1))</f>
        <v>0</v>
      </c>
      <c r="J9" s="8" cm="1">
        <f t="array" ref="J9">SUMPRODUCT(('Overview of indicators and DLS'!$C$4:$C$66=$B9)*(Experiments!K$2:K$64=1))</f>
        <v>0</v>
      </c>
      <c r="K9" s="8" cm="1">
        <f t="array" ref="K9">SUMPRODUCT(('Overview of indicators and DLS'!$C$4:$C$66=$B9)*(Experiments!L$2:L$64=1))</f>
        <v>0</v>
      </c>
      <c r="L9" s="8" cm="1">
        <f t="array" ref="L9">SUMPRODUCT(('Overview of indicators and DLS'!$C$4:$C$66=$B9)*(Experiments!M$2:M$64=1))</f>
        <v>0</v>
      </c>
      <c r="M9" s="8" cm="1">
        <f t="array" ref="M9">SUMPRODUCT(('Overview of indicators and DLS'!$C$4:$C$66=$B9)*(Experiments!N$2:N$64=1))</f>
        <v>0</v>
      </c>
      <c r="N9" s="8" cm="1">
        <f t="array" ref="N9">SUMPRODUCT(('Overview of indicators and DLS'!$C$4:$C$66=$B9)*(Experiments!O$2:O$64=1))</f>
        <v>0</v>
      </c>
      <c r="O9" s="8" cm="1">
        <f t="array" ref="O9">SUMPRODUCT(('Overview of indicators and DLS'!$C$4:$C$66=$B9)*(Experiments!P$2:P$64=1))</f>
        <v>0</v>
      </c>
    </row>
    <row r="10" spans="1:22" x14ac:dyDescent="0.3">
      <c r="B10" s="11" t="str">
        <v>Thermal comfort</v>
      </c>
      <c r="C10" s="8" cm="1">
        <f t="array" ref="C10">SUMPRODUCT(('Overview of indicators and DLS'!$C$4:$C$66=$B10)*(Experiments!C$2:C$64=1))</f>
        <v>1</v>
      </c>
      <c r="D10" s="8" cm="1">
        <f t="array" ref="D10">SUMPRODUCT(('Overview of indicators and DLS'!$C$4:$C$66=$B10)*(Experiments!D$2:D$64=1))</f>
        <v>1</v>
      </c>
      <c r="E10" s="8" cm="1">
        <f t="array" ref="E10">SUMPRODUCT(('Overview of indicators and DLS'!$C$4:$C$66=$B10)*(Experiments!E$2:E$64=1))</f>
        <v>1</v>
      </c>
      <c r="F10" s="8" cm="1">
        <f t="array" ref="F10">SUMPRODUCT(('Overview of indicators and DLS'!$C$4:$C$66=$B10)*(Experiments!F$2:F$64=1))</f>
        <v>1</v>
      </c>
      <c r="G10" s="8" cm="1">
        <f t="array" ref="G10">SUMPRODUCT(('Overview of indicators and DLS'!$C$4:$C$66=$B10)*(Experiments!G$2:G$64=1))</f>
        <v>1</v>
      </c>
      <c r="H10" s="11" cm="1">
        <f t="array" ref="H10">SUMPRODUCT(('Overview of indicators and DLS'!$C$4:$C$66=$B10)*(Experiments!H$2:H$64=1))</f>
        <v>1</v>
      </c>
      <c r="I10" s="8" cm="1">
        <f t="array" ref="I10">SUMPRODUCT(('Overview of indicators and DLS'!$C$4:$C$66=$B10)*(Experiments!J$2:J$64=1))</f>
        <v>0</v>
      </c>
      <c r="J10" s="8" cm="1">
        <f t="array" ref="J10">SUMPRODUCT(('Overview of indicators and DLS'!$C$4:$C$66=$B10)*(Experiments!K$2:K$64=1))</f>
        <v>0</v>
      </c>
      <c r="K10" s="8" cm="1">
        <f t="array" ref="K10">SUMPRODUCT(('Overview of indicators and DLS'!$C$4:$C$66=$B10)*(Experiments!L$2:L$64=1))</f>
        <v>0</v>
      </c>
      <c r="L10" s="8" cm="1">
        <f t="array" ref="L10">SUMPRODUCT(('Overview of indicators and DLS'!$C$4:$C$66=$B10)*(Experiments!M$2:M$64=1))</f>
        <v>0</v>
      </c>
      <c r="M10" s="8" cm="1">
        <f t="array" ref="M10">SUMPRODUCT(('Overview of indicators and DLS'!$C$4:$C$66=$B10)*(Experiments!N$2:N$64=1))</f>
        <v>0</v>
      </c>
      <c r="N10" s="8" cm="1">
        <f t="array" ref="N10">SUMPRODUCT(('Overview of indicators and DLS'!$C$4:$C$66=$B10)*(Experiments!O$2:O$64=1))</f>
        <v>0</v>
      </c>
      <c r="O10" s="8" cm="1">
        <f t="array" ref="O10">SUMPRODUCT(('Overview of indicators and DLS'!$C$4:$C$66=$B10)*(Experiments!P$2:P$64=1))</f>
        <v>0</v>
      </c>
    </row>
    <row r="11" spans="1:22" x14ac:dyDescent="0.3">
      <c r="B11" s="11" t="str">
        <v>Non material / Non-DLS</v>
      </c>
      <c r="C11" s="8" cm="1">
        <f t="array" ref="C11">SUMPRODUCT(('Overview of indicators and DLS'!$C$4:$C$66=$B11)*(Experiments!C$2:C$64=1))</f>
        <v>9</v>
      </c>
      <c r="D11" s="8" cm="1">
        <f t="array" ref="D11">SUMPRODUCT(('Overview of indicators and DLS'!$C$4:$C$66=$B11)*(Experiments!D$2:D$64=1))</f>
        <v>10</v>
      </c>
      <c r="E11" s="8" cm="1">
        <f t="array" ref="E11">SUMPRODUCT(('Overview of indicators and DLS'!$C$4:$C$66=$B11)*(Experiments!E$2:E$64=1))</f>
        <v>0</v>
      </c>
      <c r="F11" s="8" cm="1">
        <f t="array" ref="F11">SUMPRODUCT(('Overview of indicators and DLS'!$C$4:$C$66=$B11)*(Experiments!F$2:F$64=1))</f>
        <v>0</v>
      </c>
      <c r="G11" s="8" cm="1">
        <f t="array" ref="G11">SUMPRODUCT(('Overview of indicators and DLS'!$C$4:$C$66=$B11)*(Experiments!G$2:G$64=1))</f>
        <v>0</v>
      </c>
      <c r="H11" s="11" cm="1">
        <f t="array" ref="H11">SUMPRODUCT(('Overview of indicators and DLS'!$C$4:$C$66=$B11)*(Experiments!H$2:H$64=1))</f>
        <v>2</v>
      </c>
      <c r="I11" s="8" cm="1">
        <f t="array" ref="I11">SUMPRODUCT(('Overview of indicators and DLS'!$C$4:$C$66=$B11)*(Experiments!J$2:J$64=1))</f>
        <v>0</v>
      </c>
      <c r="J11" s="8" cm="1">
        <f t="array" ref="J11">SUMPRODUCT(('Overview of indicators and DLS'!$C$4:$C$66=$B11)*(Experiments!K$2:K$64=1))</f>
        <v>0</v>
      </c>
      <c r="K11" s="8" cm="1">
        <f t="array" ref="K11">SUMPRODUCT(('Overview of indicators and DLS'!$C$4:$C$66=$B11)*(Experiments!L$2:L$64=1))</f>
        <v>0</v>
      </c>
      <c r="L11" s="8" cm="1">
        <f t="array" ref="L11">SUMPRODUCT(('Overview of indicators and DLS'!$C$4:$C$66=$B11)*(Experiments!M$2:M$64=1))</f>
        <v>0</v>
      </c>
      <c r="M11" s="8" cm="1">
        <f t="array" ref="M11">SUMPRODUCT(('Overview of indicators and DLS'!$C$4:$C$66=$B11)*(Experiments!N$2:N$64=1))</f>
        <v>0</v>
      </c>
      <c r="N11" s="8" cm="1">
        <f t="array" ref="N11">SUMPRODUCT(('Overview of indicators and DLS'!$C$4:$C$66=$B11)*(Experiments!O$2:O$64=1))</f>
        <v>0</v>
      </c>
      <c r="O11" s="8" cm="1">
        <f t="array" ref="O11">SUMPRODUCT(('Overview of indicators and DLS'!$C$4:$C$66=$B11)*(Experiments!P$2:P$64=1))</f>
        <v>0</v>
      </c>
    </row>
    <row r="12" spans="1:22" x14ac:dyDescent="0.3">
      <c r="B12" s="11" t="str">
        <v>Education</v>
      </c>
      <c r="C12" s="8" cm="1">
        <f t="array" ref="C12">SUMPRODUCT(('Overview of indicators and DLS'!$C$4:$C$66=$B12)*(Experiments!C$2:C$64=1))</f>
        <v>4</v>
      </c>
      <c r="D12" s="8" cm="1">
        <f t="array" ref="D12">SUMPRODUCT(('Overview of indicators and DLS'!$C$4:$C$66=$B12)*(Experiments!D$2:D$64=1))</f>
        <v>5</v>
      </c>
      <c r="E12" s="8" cm="1">
        <f t="array" ref="E12">SUMPRODUCT(('Overview of indicators and DLS'!$C$4:$C$66=$B12)*(Experiments!E$2:E$64=1))</f>
        <v>1</v>
      </c>
      <c r="F12" s="8" cm="1">
        <f t="array" ref="F12">SUMPRODUCT(('Overview of indicators and DLS'!$C$4:$C$66=$B12)*(Experiments!F$2:F$64=1))</f>
        <v>1</v>
      </c>
      <c r="G12" s="8" cm="1">
        <f t="array" ref="G12">SUMPRODUCT(('Overview of indicators and DLS'!$C$4:$C$66=$B12)*(Experiments!G$2:G$64=1))</f>
        <v>9</v>
      </c>
      <c r="H12" s="11" cm="1">
        <f t="array" ref="H12">SUMPRODUCT(('Overview of indicators and DLS'!$C$4:$C$66=$B12)*(Experiments!H$2:H$64=1))</f>
        <v>3</v>
      </c>
      <c r="I12" s="8" cm="1">
        <f t="array" ref="I12">SUMPRODUCT(('Overview of indicators and DLS'!$C$4:$C$66=$B12)*(Experiments!J$2:J$64=1))</f>
        <v>0</v>
      </c>
      <c r="J12" s="8" cm="1">
        <f t="array" ref="J12">SUMPRODUCT(('Overview of indicators and DLS'!$C$4:$C$66=$B12)*(Experiments!K$2:K$64=1))</f>
        <v>0</v>
      </c>
      <c r="K12" s="8" cm="1">
        <f t="array" ref="K12">SUMPRODUCT(('Overview of indicators and DLS'!$C$4:$C$66=$B12)*(Experiments!L$2:L$64=1))</f>
        <v>0</v>
      </c>
      <c r="L12" s="8" cm="1">
        <f t="array" ref="L12">SUMPRODUCT(('Overview of indicators and DLS'!$C$4:$C$66=$B12)*(Experiments!M$2:M$64=1))</f>
        <v>0</v>
      </c>
      <c r="M12" s="8" cm="1">
        <f t="array" ref="M12">SUMPRODUCT(('Overview of indicators and DLS'!$C$4:$C$66=$B12)*(Experiments!N$2:N$64=1))</f>
        <v>0</v>
      </c>
      <c r="N12" s="8" cm="1">
        <f t="array" ref="N12">SUMPRODUCT(('Overview of indicators and DLS'!$C$4:$C$66=$B12)*(Experiments!O$2:O$64=1))</f>
        <v>0</v>
      </c>
      <c r="O12" s="8" cm="1">
        <f t="array" ref="O12">SUMPRODUCT(('Overview of indicators and DLS'!$C$4:$C$66=$B12)*(Experiments!P$2:P$64=1))</f>
        <v>0</v>
      </c>
    </row>
    <row r="13" spans="1:22" x14ac:dyDescent="0.3">
      <c r="B13" s="11" t="str">
        <v>Social connectedness</v>
      </c>
      <c r="C13" s="8" cm="1">
        <f t="array" ref="C13">SUMPRODUCT(('Overview of indicators and DLS'!$C$4:$C$66=$B13)*(Experiments!C$2:C$64=1))</f>
        <v>3</v>
      </c>
      <c r="D13" s="8" cm="1">
        <f t="array" ref="D13">SUMPRODUCT(('Overview of indicators and DLS'!$C$4:$C$66=$B13)*(Experiments!D$2:D$64=1))</f>
        <v>3</v>
      </c>
      <c r="E13" s="8" cm="1">
        <f t="array" ref="E13">SUMPRODUCT(('Overview of indicators and DLS'!$C$4:$C$66=$B13)*(Experiments!E$2:E$64=1))</f>
        <v>2</v>
      </c>
      <c r="F13" s="8" cm="1">
        <f t="array" ref="F13">SUMPRODUCT(('Overview of indicators and DLS'!$C$4:$C$66=$B13)*(Experiments!F$2:F$64=1))</f>
        <v>2</v>
      </c>
      <c r="G13" s="8" cm="1">
        <f t="array" ref="G13">SUMPRODUCT(('Overview of indicators and DLS'!$C$4:$C$66=$B13)*(Experiments!G$2:G$64=1))</f>
        <v>3</v>
      </c>
      <c r="H13" s="11" cm="1">
        <f t="array" ref="H13">SUMPRODUCT(('Overview of indicators and DLS'!$C$4:$C$66=$B13)*(Experiments!H$2:H$64=1))</f>
        <v>2</v>
      </c>
      <c r="I13" s="8" cm="1">
        <f t="array" ref="I13">SUMPRODUCT(('Overview of indicators and DLS'!$C$4:$C$66=$B13)*(Experiments!J$2:J$64=1))</f>
        <v>0</v>
      </c>
      <c r="J13" s="8" cm="1">
        <f t="array" ref="J13">SUMPRODUCT(('Overview of indicators and DLS'!$C$4:$C$66=$B13)*(Experiments!K$2:K$64=1))</f>
        <v>0</v>
      </c>
      <c r="K13" s="8" cm="1">
        <f t="array" ref="K13">SUMPRODUCT(('Overview of indicators and DLS'!$C$4:$C$66=$B13)*(Experiments!L$2:L$64=1))</f>
        <v>0</v>
      </c>
      <c r="L13" s="8" cm="1">
        <f t="array" ref="L13">SUMPRODUCT(('Overview of indicators and DLS'!$C$4:$C$66=$B13)*(Experiments!M$2:M$64=1))</f>
        <v>0</v>
      </c>
      <c r="M13" s="8" cm="1">
        <f t="array" ref="M13">SUMPRODUCT(('Overview of indicators and DLS'!$C$4:$C$66=$B13)*(Experiments!N$2:N$64=1))</f>
        <v>0</v>
      </c>
      <c r="N13" s="8" cm="1">
        <f t="array" ref="N13">SUMPRODUCT(('Overview of indicators and DLS'!$C$4:$C$66=$B13)*(Experiments!O$2:O$64=1))</f>
        <v>0</v>
      </c>
      <c r="O13" s="8" cm="1">
        <f t="array" ref="O13">SUMPRODUCT(('Overview of indicators and DLS'!$C$4:$C$66=$B13)*(Experiments!P$2:P$64=1))</f>
        <v>0</v>
      </c>
    </row>
    <row r="14" spans="1:22" x14ac:dyDescent="0.3">
      <c r="B14" s="11" t="str">
        <v>Housing</v>
      </c>
      <c r="C14" s="8" cm="1">
        <f t="array" ref="C14">SUMPRODUCT(('Overview of indicators and DLS'!$C$4:$C$66=$B14)*(Experiments!C$2:C$64=1))</f>
        <v>0</v>
      </c>
      <c r="D14" s="8" cm="1">
        <f t="array" ref="D14">SUMPRODUCT(('Overview of indicators and DLS'!$C$4:$C$66=$B14)*(Experiments!D$2:D$64=1))</f>
        <v>1</v>
      </c>
      <c r="E14" s="8" cm="1">
        <f t="array" ref="E14">SUMPRODUCT(('Overview of indicators and DLS'!$C$4:$C$66=$B14)*(Experiments!E$2:E$64=1))</f>
        <v>1</v>
      </c>
      <c r="F14" s="8" cm="1">
        <f t="array" ref="F14">SUMPRODUCT(('Overview of indicators and DLS'!$C$4:$C$66=$B14)*(Experiments!F$2:F$64=1))</f>
        <v>1</v>
      </c>
      <c r="G14" s="8" cm="1">
        <f t="array" ref="G14">SUMPRODUCT(('Overview of indicators and DLS'!$C$4:$C$66=$B14)*(Experiments!G$2:G$64=1))</f>
        <v>1</v>
      </c>
      <c r="H14" s="11" cm="1">
        <f t="array" ref="H14">SUMPRODUCT(('Overview of indicators and DLS'!$C$4:$C$66=$B14)*(Experiments!H$2:H$64=1))</f>
        <v>1</v>
      </c>
      <c r="I14" s="8" cm="1">
        <f t="array" ref="I14">SUMPRODUCT(('Overview of indicators and DLS'!$C$4:$C$66=$B14)*(Experiments!J$2:J$64=1))</f>
        <v>0</v>
      </c>
      <c r="J14" s="8" cm="1">
        <f t="array" ref="J14">SUMPRODUCT(('Overview of indicators and DLS'!$C$4:$C$66=$B14)*(Experiments!K$2:K$64=1))</f>
        <v>0</v>
      </c>
      <c r="K14" s="8" cm="1">
        <f t="array" ref="K14">SUMPRODUCT(('Overview of indicators and DLS'!$C$4:$C$66=$B14)*(Experiments!L$2:L$64=1))</f>
        <v>0</v>
      </c>
      <c r="L14" s="8" cm="1">
        <f t="array" ref="L14">SUMPRODUCT(('Overview of indicators and DLS'!$C$4:$C$66=$B14)*(Experiments!M$2:M$64=1))</f>
        <v>0</v>
      </c>
      <c r="M14" s="8" cm="1">
        <f t="array" ref="M14">SUMPRODUCT(('Overview of indicators and DLS'!$C$4:$C$66=$B14)*(Experiments!N$2:N$64=1))</f>
        <v>0</v>
      </c>
      <c r="N14" s="8" cm="1">
        <f t="array" ref="N14">SUMPRODUCT(('Overview of indicators and DLS'!$C$4:$C$66=$B14)*(Experiments!O$2:O$64=1))</f>
        <v>0</v>
      </c>
      <c r="O14" s="8" cm="1">
        <f t="array" ref="O14">SUMPRODUCT(('Overview of indicators and DLS'!$C$4:$C$66=$B14)*(Experiments!P$2:P$64=1))</f>
        <v>0</v>
      </c>
    </row>
    <row r="15" spans="1:22" x14ac:dyDescent="0.3">
      <c r="B15" s="13" t="str">
        <v>Physical Connectedness</v>
      </c>
      <c r="C15" s="12" cm="1">
        <f t="array" ref="C15">SUMPRODUCT(('Overview of indicators and DLS'!$C$4:$C$66=$B15)*(Experiments!C$2:C$64=1))</f>
        <v>0</v>
      </c>
      <c r="D15" s="12" cm="1">
        <f t="array" ref="D15">SUMPRODUCT(('Overview of indicators and DLS'!$C$4:$C$66=$B15)*(Experiments!D$2:D$64=1))</f>
        <v>0</v>
      </c>
      <c r="E15" s="12" cm="1">
        <f t="array" ref="E15">SUMPRODUCT(('Overview of indicators and DLS'!$C$4:$C$66=$B15)*(Experiments!E$2:E$64=1))</f>
        <v>0</v>
      </c>
      <c r="F15" s="12" cm="1">
        <f t="array" ref="F15">SUMPRODUCT(('Overview of indicators and DLS'!$C$4:$C$66=$B15)*(Experiments!F$2:F$64=1))</f>
        <v>0</v>
      </c>
      <c r="G15" s="12" cm="1">
        <f t="array" ref="G15">SUMPRODUCT(('Overview of indicators and DLS'!$C$4:$C$66=$B15)*(Experiments!G$2:G$64=1))</f>
        <v>0</v>
      </c>
      <c r="H15" s="13" cm="1">
        <f t="array" ref="H15">SUMPRODUCT(('Overview of indicators and DLS'!$C$4:$C$66=$B15)*(Experiments!H$2:H$64=1))</f>
        <v>0</v>
      </c>
      <c r="I15" s="12" cm="1">
        <f t="array" ref="I15">SUMPRODUCT(('Overview of indicators and DLS'!$C$4:$C$66=$B15)*(Experiments!J$2:J$64=1))</f>
        <v>0</v>
      </c>
      <c r="J15" s="12" cm="1">
        <f t="array" ref="J15">SUMPRODUCT(('Overview of indicators and DLS'!$C$4:$C$66=$B15)*(Experiments!K$2:K$64=1))</f>
        <v>0</v>
      </c>
      <c r="K15" s="12" cm="1">
        <f t="array" ref="K15">SUMPRODUCT(('Overview of indicators and DLS'!$C$4:$C$66=$B15)*(Experiments!L$2:L$64=1))</f>
        <v>0</v>
      </c>
      <c r="L15" s="12" cm="1">
        <f t="array" ref="L15">SUMPRODUCT(('Overview of indicators and DLS'!$C$4:$C$66=$B15)*(Experiments!M$2:M$64=1))</f>
        <v>0</v>
      </c>
      <c r="M15" s="12" cm="1">
        <f t="array" ref="M15">SUMPRODUCT(('Overview of indicators and DLS'!$C$4:$C$66=$B15)*(Experiments!N$2:N$64=1))</f>
        <v>0</v>
      </c>
      <c r="N15" s="12" cm="1">
        <f t="array" ref="N15">SUMPRODUCT(('Overview of indicators and DLS'!$C$4:$C$66=$B15)*(Experiments!O$2:O$64=1))</f>
        <v>0</v>
      </c>
      <c r="O15" s="12" cm="1">
        <f t="array" ref="O15">SUMPRODUCT(('Overview of indicators and DLS'!$C$4:$C$66=$B15)*(Experiments!P$2:P$64=1))</f>
        <v>0</v>
      </c>
      <c r="Q15" t="s">
        <v>57</v>
      </c>
    </row>
    <row r="16" spans="1:22" x14ac:dyDescent="0.3">
      <c r="B16" s="11"/>
      <c r="C16" s="14"/>
      <c r="D16" s="14"/>
      <c r="E16" s="8"/>
      <c r="F16" s="8"/>
      <c r="G16" s="8"/>
      <c r="H16" s="11"/>
      <c r="I16" s="8"/>
      <c r="J16" s="8"/>
      <c r="K16" s="8"/>
      <c r="L16" s="8"/>
      <c r="M16" s="8"/>
      <c r="N16" s="8"/>
      <c r="O16" s="8"/>
    </row>
    <row r="17" spans="2:15" x14ac:dyDescent="0.3">
      <c r="B17" s="15" t="s">
        <v>33</v>
      </c>
      <c r="C17" s="14">
        <f>SUM(C5:C15)</f>
        <v>33</v>
      </c>
      <c r="D17" s="14">
        <f>SUM(D5:D15)</f>
        <v>44</v>
      </c>
      <c r="E17" s="14">
        <f t="shared" ref="E17:O17" si="0">SUM(E5:E15)</f>
        <v>11</v>
      </c>
      <c r="F17" s="14">
        <f t="shared" si="0"/>
        <v>11</v>
      </c>
      <c r="G17" s="14">
        <f t="shared" si="0"/>
        <v>38</v>
      </c>
      <c r="H17" s="15">
        <f t="shared" si="0"/>
        <v>15</v>
      </c>
      <c r="I17" s="14">
        <f t="shared" si="0"/>
        <v>0</v>
      </c>
      <c r="J17" s="14">
        <f t="shared" si="0"/>
        <v>0</v>
      </c>
      <c r="K17" s="14">
        <f t="shared" si="0"/>
        <v>0</v>
      </c>
      <c r="L17" s="14">
        <f t="shared" si="0"/>
        <v>0</v>
      </c>
      <c r="M17" s="14">
        <f t="shared" si="0"/>
        <v>0</v>
      </c>
      <c r="N17" s="14">
        <f t="shared" si="0"/>
        <v>0</v>
      </c>
      <c r="O17" s="14">
        <f t="shared" si="0"/>
        <v>0</v>
      </c>
    </row>
    <row r="18" spans="2:15" x14ac:dyDescent="0.3">
      <c r="B18" s="11" t="s">
        <v>34</v>
      </c>
      <c r="C18" s="8">
        <f>SUM(Experiments!C2:C53)</f>
        <v>33</v>
      </c>
      <c r="D18" s="8">
        <f>SUM(Experiments!D2:D53)</f>
        <v>33</v>
      </c>
      <c r="E18" s="8">
        <f>SUM(Experiments!E2:E53)</f>
        <v>7</v>
      </c>
      <c r="F18" s="8">
        <f>SUM(Experiments!F2:F53)</f>
        <v>10</v>
      </c>
      <c r="G18" s="8">
        <f>SUM(Experiments!G2:G53)</f>
        <v>28</v>
      </c>
      <c r="H18" s="11">
        <f>SUM(Experiments!H2:H53)</f>
        <v>11</v>
      </c>
      <c r="I18" s="8">
        <f>SUM(Experiments!J2:J53)</f>
        <v>0</v>
      </c>
      <c r="J18" s="8">
        <f>SUM(Experiments!K2:K53)</f>
        <v>0</v>
      </c>
      <c r="K18" s="8">
        <f>SUM(Experiments!L2:L53)</f>
        <v>0</v>
      </c>
      <c r="L18" s="8">
        <f>SUM(Experiments!M2:M53)</f>
        <v>0</v>
      </c>
      <c r="M18" s="8">
        <f>SUM(Experiments!N2:N53)</f>
        <v>0</v>
      </c>
      <c r="N18" s="8">
        <f>SUM(Experiments!O2:O53)</f>
        <v>0</v>
      </c>
      <c r="O18" s="8">
        <f>SUM(Experiments!P2:P53)</f>
        <v>0</v>
      </c>
    </row>
    <row r="19" spans="2:15" x14ac:dyDescent="0.3">
      <c r="B19" s="11" t="s">
        <v>35</v>
      </c>
      <c r="C19" s="8">
        <f>SUM(Experiments!C54:C64)</f>
        <v>0</v>
      </c>
      <c r="D19" s="8">
        <f>SUM(Experiments!D54:D64)</f>
        <v>11</v>
      </c>
      <c r="E19" s="8">
        <f>SUM(Experiments!E54:E64)</f>
        <v>4</v>
      </c>
      <c r="F19" s="8">
        <f>SUM(Experiments!F54:F64)</f>
        <v>1</v>
      </c>
      <c r="G19" s="8">
        <f>SUM(Experiments!G54:G64)</f>
        <v>10</v>
      </c>
      <c r="H19" s="11">
        <f>SUM(Experiments!H54:H64)</f>
        <v>4</v>
      </c>
      <c r="I19" s="8">
        <f>SUM(Experiments!J54:J64)</f>
        <v>0</v>
      </c>
      <c r="J19" s="8">
        <f>SUM(Experiments!K54:K64)</f>
        <v>0</v>
      </c>
      <c r="K19" s="8">
        <f>SUM(Experiments!L54:L64)</f>
        <v>0</v>
      </c>
      <c r="L19" s="8">
        <f>SUM(Experiments!M54:M64)</f>
        <v>0</v>
      </c>
      <c r="M19" s="8">
        <f>SUM(Experiments!N54:N64)</f>
        <v>0</v>
      </c>
      <c r="N19" s="8">
        <f>SUM(Experiments!O54:O64)</f>
        <v>0</v>
      </c>
      <c r="O19" s="8">
        <f>SUM(Experiments!P54:P64)</f>
        <v>0</v>
      </c>
    </row>
    <row r="21" spans="2:15" x14ac:dyDescent="0.3">
      <c r="B21" s="5" t="s">
        <v>50</v>
      </c>
      <c r="C21" s="17" t="s">
        <v>42</v>
      </c>
      <c r="D21" s="17"/>
      <c r="E21" s="17"/>
      <c r="F21" s="17"/>
      <c r="G21" s="17"/>
      <c r="H21" s="17"/>
      <c r="I21" s="17" t="s">
        <v>43</v>
      </c>
      <c r="J21" s="17"/>
      <c r="K21" s="17"/>
      <c r="L21" s="17"/>
      <c r="M21" s="17"/>
      <c r="N21" s="17"/>
      <c r="O21" s="17"/>
    </row>
    <row r="22" spans="2:15" ht="90.6" customHeight="1" x14ac:dyDescent="0.3">
      <c r="B22" s="7" t="str" cm="1">
        <f t="array" ref="B22:B35">TRANSPOSE(_xlfn.ANCHORARRAY(C4))</f>
        <v>BHN_FWB</v>
      </c>
      <c r="C22" s="18" t="s">
        <v>45</v>
      </c>
      <c r="D22" s="18"/>
      <c r="E22" s="18"/>
      <c r="F22" s="18"/>
      <c r="G22" s="18"/>
      <c r="H22" s="18"/>
      <c r="I22" s="24"/>
      <c r="J22" s="24"/>
      <c r="K22" s="24"/>
      <c r="L22" s="24"/>
      <c r="M22" s="24"/>
      <c r="N22" s="24"/>
      <c r="O22" s="24"/>
    </row>
    <row r="23" spans="2:15" ht="87.6" customHeight="1" x14ac:dyDescent="0.3">
      <c r="B23" s="7" t="str">
        <v>BHN_FWB_AllExt</v>
      </c>
      <c r="C23" s="18" t="s">
        <v>44</v>
      </c>
      <c r="D23" s="18"/>
      <c r="E23" s="18"/>
      <c r="F23" s="18"/>
      <c r="G23" s="18"/>
      <c r="H23" s="18"/>
      <c r="I23" s="24"/>
      <c r="J23" s="24"/>
      <c r="K23" s="24"/>
      <c r="L23" s="24"/>
      <c r="M23" s="24"/>
      <c r="N23" s="24"/>
      <c r="O23" s="24"/>
    </row>
    <row r="24" spans="2:15" ht="108.6" customHeight="1" x14ac:dyDescent="0.3">
      <c r="B24" s="7" t="str">
        <v>Few_indicators_closest_DLS_coverage</v>
      </c>
      <c r="C24" s="18" t="s">
        <v>48</v>
      </c>
      <c r="D24" s="18"/>
      <c r="E24" s="18"/>
      <c r="F24" s="18"/>
      <c r="G24" s="18"/>
      <c r="H24" s="18"/>
      <c r="I24" s="24"/>
      <c r="J24" s="24"/>
      <c r="K24" s="24"/>
      <c r="L24" s="24"/>
      <c r="M24" s="24"/>
      <c r="N24" s="24"/>
      <c r="O24" s="24"/>
    </row>
    <row r="25" spans="2:15" ht="81.599999999999994" customHeight="1" x14ac:dyDescent="0.3">
      <c r="B25" s="7" t="str">
        <v>Few indicators_SPI_preferred</v>
      </c>
      <c r="C25" s="18" t="s">
        <v>49</v>
      </c>
      <c r="D25" s="18"/>
      <c r="E25" s="18"/>
      <c r="F25" s="18"/>
      <c r="G25" s="18"/>
      <c r="H25" s="18"/>
      <c r="I25" s="24"/>
      <c r="J25" s="24"/>
      <c r="K25" s="24"/>
      <c r="L25" s="24"/>
      <c r="M25" s="24"/>
      <c r="N25" s="24"/>
      <c r="O25" s="24"/>
    </row>
    <row r="26" spans="2:15" ht="69.599999999999994" customHeight="1" x14ac:dyDescent="0.3">
      <c r="B26" s="7" t="str">
        <v>No_non_DLS</v>
      </c>
      <c r="C26" s="23" t="s">
        <v>46</v>
      </c>
      <c r="D26" s="23"/>
      <c r="E26" s="23"/>
      <c r="F26" s="23"/>
      <c r="G26" s="23"/>
      <c r="H26" s="23"/>
      <c r="I26" s="24"/>
      <c r="J26" s="24"/>
      <c r="K26" s="24"/>
      <c r="L26" s="24"/>
      <c r="M26" s="24"/>
      <c r="N26" s="24"/>
      <c r="O26" s="24"/>
    </row>
    <row r="27" spans="2:15" ht="93" customHeight="1" x14ac:dyDescent="0.3">
      <c r="B27" s="7" t="str">
        <v>Only_%_of_pop</v>
      </c>
      <c r="C27" s="23" t="s">
        <v>53</v>
      </c>
      <c r="D27" s="23"/>
      <c r="E27" s="23"/>
      <c r="F27" s="23"/>
      <c r="G27" s="23"/>
      <c r="H27" s="23"/>
      <c r="I27" s="24"/>
      <c r="J27" s="24"/>
      <c r="K27" s="24"/>
      <c r="L27" s="24"/>
      <c r="M27" s="24"/>
      <c r="N27" s="24"/>
      <c r="O27" s="24"/>
    </row>
    <row r="28" spans="2:15" ht="65.400000000000006" customHeight="1" x14ac:dyDescent="0.3">
      <c r="B28" s="6" t="str">
        <v>Add new here</v>
      </c>
      <c r="C28" s="22"/>
      <c r="D28" s="22"/>
      <c r="E28" s="22"/>
      <c r="F28" s="22"/>
      <c r="G28" s="22"/>
      <c r="H28" s="22"/>
      <c r="I28" s="22"/>
      <c r="J28" s="22"/>
      <c r="K28" s="22"/>
      <c r="L28" s="22"/>
      <c r="M28" s="22"/>
      <c r="N28" s="22"/>
      <c r="O28" s="22"/>
    </row>
    <row r="29" spans="2:15" x14ac:dyDescent="0.3">
      <c r="B29" s="6">
        <v>0</v>
      </c>
      <c r="C29" s="27"/>
      <c r="D29" s="27"/>
      <c r="E29" s="27"/>
      <c r="F29" s="27"/>
      <c r="G29" s="27"/>
      <c r="H29" s="27"/>
      <c r="I29" s="6"/>
      <c r="J29" s="6"/>
      <c r="K29" s="6"/>
      <c r="L29" s="6"/>
      <c r="M29" s="6"/>
      <c r="N29" s="6"/>
      <c r="O29" s="6"/>
    </row>
    <row r="30" spans="2:15" x14ac:dyDescent="0.3">
      <c r="B30" s="6">
        <v>0</v>
      </c>
      <c r="C30" s="6"/>
      <c r="D30" s="6"/>
      <c r="E30" s="6"/>
      <c r="F30" s="6"/>
      <c r="G30" s="6"/>
      <c r="H30" s="6"/>
      <c r="I30" s="27"/>
      <c r="J30" s="27"/>
      <c r="K30" s="27"/>
      <c r="L30" s="27"/>
      <c r="M30" s="27"/>
      <c r="N30" s="27"/>
      <c r="O30" s="27"/>
    </row>
    <row r="31" spans="2:15" x14ac:dyDescent="0.3">
      <c r="B31" s="6">
        <v>0</v>
      </c>
      <c r="C31" s="27"/>
      <c r="D31" s="27"/>
      <c r="E31" s="27"/>
      <c r="F31" s="27"/>
      <c r="G31" s="27"/>
      <c r="H31" s="27"/>
      <c r="I31" s="27"/>
      <c r="J31" s="27"/>
      <c r="K31" s="27"/>
      <c r="L31" s="27"/>
      <c r="M31" s="27"/>
      <c r="N31" s="27"/>
      <c r="O31" s="27"/>
    </row>
    <row r="32" spans="2:15" x14ac:dyDescent="0.3">
      <c r="B32" s="6">
        <v>0</v>
      </c>
      <c r="C32" s="27"/>
      <c r="D32" s="27"/>
      <c r="E32" s="27"/>
      <c r="F32" s="27"/>
      <c r="G32" s="27"/>
      <c r="H32" s="27"/>
      <c r="I32" s="27"/>
      <c r="J32" s="27"/>
      <c r="K32" s="27"/>
      <c r="L32" s="27"/>
      <c r="M32" s="27"/>
      <c r="N32" s="27"/>
      <c r="O32" s="27"/>
    </row>
    <row r="33" spans="2:15" x14ac:dyDescent="0.3">
      <c r="B33" s="6">
        <v>0</v>
      </c>
      <c r="C33" s="27"/>
      <c r="D33" s="27"/>
      <c r="E33" s="27"/>
      <c r="F33" s="27"/>
      <c r="G33" s="27"/>
      <c r="H33" s="27"/>
      <c r="I33" s="27"/>
      <c r="J33" s="27"/>
      <c r="K33" s="27"/>
      <c r="L33" s="27"/>
      <c r="M33" s="27"/>
      <c r="N33" s="27"/>
      <c r="O33" s="27"/>
    </row>
    <row r="34" spans="2:15" x14ac:dyDescent="0.3">
      <c r="B34" s="6">
        <v>0</v>
      </c>
      <c r="C34" s="27"/>
      <c r="D34" s="27"/>
      <c r="E34" s="27"/>
      <c r="F34" s="27"/>
      <c r="G34" s="27"/>
      <c r="H34" s="27"/>
      <c r="I34" s="27"/>
      <c r="J34" s="27"/>
      <c r="K34" s="27"/>
      <c r="L34" s="27"/>
      <c r="M34" s="27"/>
      <c r="N34" s="27"/>
      <c r="O34" s="27"/>
    </row>
    <row r="35" spans="2:15" x14ac:dyDescent="0.3">
      <c r="B35" s="6">
        <v>0</v>
      </c>
      <c r="C35" s="27"/>
      <c r="D35" s="27"/>
      <c r="E35" s="27"/>
      <c r="F35" s="27"/>
      <c r="G35" s="27"/>
      <c r="H35" s="27"/>
      <c r="I35" s="27"/>
      <c r="J35" s="27"/>
      <c r="K35" s="27"/>
      <c r="L35" s="27"/>
      <c r="M35" s="27"/>
      <c r="N35" s="27"/>
      <c r="O35" s="27"/>
    </row>
  </sheetData>
  <mergeCells count="31">
    <mergeCell ref="I35:O35"/>
    <mergeCell ref="C29:H29"/>
    <mergeCell ref="C31:H31"/>
    <mergeCell ref="C32:H32"/>
    <mergeCell ref="C33:H33"/>
    <mergeCell ref="C34:H34"/>
    <mergeCell ref="C35:H35"/>
    <mergeCell ref="I30:O30"/>
    <mergeCell ref="I31:O31"/>
    <mergeCell ref="I32:O32"/>
    <mergeCell ref="I33:O33"/>
    <mergeCell ref="I34:O34"/>
    <mergeCell ref="C28:H28"/>
    <mergeCell ref="I28:O28"/>
    <mergeCell ref="C24:H24"/>
    <mergeCell ref="C25:H25"/>
    <mergeCell ref="C26:H26"/>
    <mergeCell ref="C27:H27"/>
    <mergeCell ref="I24:O24"/>
    <mergeCell ref="I25:O25"/>
    <mergeCell ref="I26:O26"/>
    <mergeCell ref="I27:O27"/>
    <mergeCell ref="I21:O21"/>
    <mergeCell ref="C22:H22"/>
    <mergeCell ref="C23:H23"/>
    <mergeCell ref="R4:V4"/>
    <mergeCell ref="R3:V3"/>
    <mergeCell ref="I22:O22"/>
    <mergeCell ref="I23:O23"/>
    <mergeCell ref="C3:H3"/>
    <mergeCell ref="C21:H21"/>
  </mergeCells>
  <conditionalFormatting sqref="C5:O15">
    <cfRule type="cellIs" dxfId="0" priority="1"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3708-7016-4142-ADAA-C3FCCAD91158}">
  <sheetPr>
    <tabColor theme="9" tint="-0.249977111117893"/>
  </sheetPr>
  <dimension ref="A1:I65"/>
  <sheetViews>
    <sheetView workbookViewId="0">
      <selection activeCell="J26" sqref="J26"/>
    </sheetView>
  </sheetViews>
  <sheetFormatPr defaultRowHeight="14.4" x14ac:dyDescent="0.3"/>
  <cols>
    <col min="1" max="1" width="62.5546875" customWidth="1"/>
    <col min="2" max="2" width="25.21875" customWidth="1"/>
    <col min="3" max="3" width="14.33203125" customWidth="1"/>
    <col min="4" max="4" width="20.109375" customWidth="1"/>
    <col min="5" max="5" width="15" customWidth="1"/>
    <col min="6" max="6" width="26.109375" bestFit="1" customWidth="1"/>
    <col min="7" max="7" width="14" customWidth="1"/>
    <col min="8" max="8" width="13.88671875" customWidth="1"/>
    <col min="9" max="9" width="13.21875" customWidth="1"/>
  </cols>
  <sheetData>
    <row r="1" spans="1:9" x14ac:dyDescent="0.3">
      <c r="A1" s="1" t="s">
        <v>51</v>
      </c>
      <c r="B1" s="1" t="s">
        <v>17</v>
      </c>
      <c r="C1" t="s">
        <v>31</v>
      </c>
      <c r="D1" t="s">
        <v>32</v>
      </c>
      <c r="E1" t="s">
        <v>40</v>
      </c>
      <c r="F1" t="s">
        <v>41</v>
      </c>
      <c r="G1" t="s">
        <v>37</v>
      </c>
      <c r="H1" t="s">
        <v>38</v>
      </c>
      <c r="I1" t="s">
        <v>52</v>
      </c>
    </row>
    <row r="2" spans="1:9" x14ac:dyDescent="0.3">
      <c r="A2" s="3" t="str" cm="1">
        <f t="array" ref="A2:A53">TRANSPOSE('[1]1990-2020 Time-series data'!$Y$2:$BX$2)</f>
        <v xml:space="preserve">Child stunting (% of pop.) </v>
      </c>
      <c r="B2" t="s">
        <v>18</v>
      </c>
      <c r="C2">
        <v>1</v>
      </c>
      <c r="D2">
        <v>1</v>
      </c>
      <c r="E2">
        <v>0</v>
      </c>
      <c r="F2">
        <v>0</v>
      </c>
      <c r="G2">
        <v>1</v>
      </c>
      <c r="H2">
        <v>1</v>
      </c>
    </row>
    <row r="3" spans="1:9" x14ac:dyDescent="0.3">
      <c r="A3" s="3" t="str">
        <v>Deaths from infectious diseases (deaths/100,000)</v>
      </c>
      <c r="B3" t="s">
        <v>25</v>
      </c>
      <c r="C3">
        <v>1</v>
      </c>
      <c r="D3">
        <v>1</v>
      </c>
      <c r="E3">
        <v>0</v>
      </c>
      <c r="F3">
        <v>0</v>
      </c>
      <c r="G3">
        <v>1</v>
      </c>
      <c r="H3">
        <v>0</v>
      </c>
    </row>
    <row r="4" spans="1:9" x14ac:dyDescent="0.3">
      <c r="A4" s="3" t="str">
        <v xml:space="preserve">Maternal mortality  (deaths/100,000 live births) </v>
      </c>
      <c r="B4" t="s">
        <v>25</v>
      </c>
      <c r="C4">
        <v>1</v>
      </c>
      <c r="D4">
        <v>1</v>
      </c>
      <c r="E4">
        <v>0</v>
      </c>
      <c r="F4">
        <v>0</v>
      </c>
      <c r="G4">
        <v>1</v>
      </c>
      <c r="H4">
        <v>0</v>
      </c>
    </row>
    <row r="5" spans="1:9" x14ac:dyDescent="0.3">
      <c r="A5" s="3" t="str">
        <v xml:space="preserve">Nutritional deficiencies (% of pop.) </v>
      </c>
      <c r="B5" t="s">
        <v>18</v>
      </c>
      <c r="C5">
        <v>1</v>
      </c>
      <c r="D5">
        <v>1</v>
      </c>
      <c r="E5">
        <v>1</v>
      </c>
      <c r="F5">
        <v>1</v>
      </c>
      <c r="G5">
        <v>1</v>
      </c>
      <c r="H5">
        <v>1</v>
      </c>
    </row>
    <row r="6" spans="1:9" x14ac:dyDescent="0.3">
      <c r="A6" s="3" t="str">
        <v xml:space="preserve">Diet low in fruits and vegetables (0=low risk; 100=high risk) </v>
      </c>
      <c r="B6" t="s">
        <v>18</v>
      </c>
      <c r="C6">
        <v>1</v>
      </c>
      <c r="D6">
        <v>1</v>
      </c>
      <c r="E6">
        <v>0</v>
      </c>
      <c r="F6">
        <v>0</v>
      </c>
      <c r="G6">
        <v>1</v>
      </c>
      <c r="H6">
        <v>0</v>
      </c>
    </row>
    <row r="7" spans="1:9" x14ac:dyDescent="0.3">
      <c r="A7" s="3" t="str">
        <v xml:space="preserve">Child mortality (deaths/1,000 live births) </v>
      </c>
      <c r="B7" t="s">
        <v>25</v>
      </c>
      <c r="C7">
        <v>1</v>
      </c>
      <c r="D7">
        <v>1</v>
      </c>
      <c r="E7">
        <v>0</v>
      </c>
      <c r="F7">
        <v>0</v>
      </c>
      <c r="G7">
        <v>1</v>
      </c>
      <c r="H7">
        <v>0</v>
      </c>
    </row>
    <row r="8" spans="1:9" x14ac:dyDescent="0.3">
      <c r="A8" s="3" t="str">
        <v xml:space="preserve">No access to a handwashing facility (0=low risk; 100=high risk) </v>
      </c>
      <c r="B8" t="s">
        <v>22</v>
      </c>
      <c r="C8">
        <v>1</v>
      </c>
      <c r="D8">
        <v>1</v>
      </c>
      <c r="E8">
        <v>1</v>
      </c>
      <c r="F8">
        <v>1</v>
      </c>
      <c r="G8">
        <v>1</v>
      </c>
      <c r="H8">
        <v>0</v>
      </c>
    </row>
    <row r="9" spans="1:9" x14ac:dyDescent="0.3">
      <c r="A9" s="3" t="str">
        <v>Deaths from unsafe water, sanitation and hygiene (deaths/100,000)</v>
      </c>
      <c r="B9" t="s">
        <v>22</v>
      </c>
      <c r="C9">
        <v>1</v>
      </c>
      <c r="D9">
        <v>1</v>
      </c>
      <c r="E9">
        <v>0</v>
      </c>
      <c r="F9">
        <v>0</v>
      </c>
      <c r="G9">
        <v>1</v>
      </c>
      <c r="H9">
        <v>0</v>
      </c>
    </row>
    <row r="10" spans="1:9" x14ac:dyDescent="0.3">
      <c r="A10" s="3" t="str">
        <v xml:space="preserve">Improved sanitation (proportion of pop.) </v>
      </c>
      <c r="B10" t="s">
        <v>24</v>
      </c>
      <c r="C10">
        <v>1</v>
      </c>
      <c r="D10">
        <v>1</v>
      </c>
      <c r="E10">
        <v>0</v>
      </c>
      <c r="F10">
        <v>1</v>
      </c>
      <c r="G10">
        <v>1</v>
      </c>
      <c r="H10">
        <v>0</v>
      </c>
    </row>
    <row r="11" spans="1:9" x14ac:dyDescent="0.3">
      <c r="A11" s="3" t="str">
        <v xml:space="preserve">Improved water source (proportion of pop.) </v>
      </c>
      <c r="B11" t="s">
        <v>22</v>
      </c>
      <c r="C11">
        <v>1</v>
      </c>
      <c r="D11">
        <v>1</v>
      </c>
      <c r="E11">
        <v>0</v>
      </c>
      <c r="F11">
        <v>1</v>
      </c>
      <c r="G11">
        <v>1</v>
      </c>
      <c r="H11">
        <v>0</v>
      </c>
    </row>
    <row r="12" spans="1:9" x14ac:dyDescent="0.3">
      <c r="A12" s="2" t="str">
        <v>Deaths from household air pollution (deaths/100,000)</v>
      </c>
      <c r="B12" t="s">
        <v>21</v>
      </c>
      <c r="C12">
        <v>1</v>
      </c>
      <c r="D12">
        <v>1</v>
      </c>
      <c r="E12">
        <v>0</v>
      </c>
      <c r="F12">
        <v>0</v>
      </c>
      <c r="G12">
        <v>1</v>
      </c>
      <c r="H12">
        <v>0</v>
      </c>
    </row>
    <row r="13" spans="1:9" x14ac:dyDescent="0.3">
      <c r="A13" s="2" t="str">
        <v xml:space="preserve">Prevalence of cooking with coal/biomass (proportion of pop.) </v>
      </c>
      <c r="B13" t="s">
        <v>21</v>
      </c>
      <c r="C13">
        <v>1</v>
      </c>
      <c r="D13">
        <v>1</v>
      </c>
      <c r="E13">
        <v>1</v>
      </c>
      <c r="F13">
        <v>1</v>
      </c>
      <c r="G13">
        <v>1</v>
      </c>
      <c r="H13">
        <v>1</v>
      </c>
    </row>
    <row r="14" spans="1:9" x14ac:dyDescent="0.3">
      <c r="A14" s="2" t="str">
        <v xml:space="preserve">Access to electricity (% of pop.) </v>
      </c>
      <c r="B14" t="s">
        <v>20</v>
      </c>
      <c r="C14">
        <v>1</v>
      </c>
      <c r="D14">
        <v>1</v>
      </c>
      <c r="E14">
        <v>1</v>
      </c>
      <c r="F14">
        <v>1</v>
      </c>
      <c r="G14">
        <v>1</v>
      </c>
      <c r="H14">
        <v>1</v>
      </c>
    </row>
    <row r="15" spans="1:9" x14ac:dyDescent="0.3">
      <c r="A15" s="2" t="str">
        <v>Deaths from road injuries (deaths/100,000)</v>
      </c>
      <c r="B15" t="s">
        <v>36</v>
      </c>
      <c r="C15">
        <v>1</v>
      </c>
      <c r="D15">
        <v>1</v>
      </c>
      <c r="E15">
        <v>0</v>
      </c>
      <c r="F15">
        <v>0</v>
      </c>
      <c r="G15">
        <v>0</v>
      </c>
      <c r="H15">
        <v>0</v>
      </c>
    </row>
    <row r="16" spans="1:9" x14ac:dyDescent="0.3">
      <c r="A16" s="2" t="str">
        <v xml:space="preserve">Political violence (0=no violence; 4=violence often) </v>
      </c>
      <c r="B16" t="s">
        <v>36</v>
      </c>
      <c r="C16">
        <v>1</v>
      </c>
      <c r="D16">
        <v>1</v>
      </c>
      <c r="E16">
        <v>0</v>
      </c>
      <c r="F16">
        <v>0</v>
      </c>
      <c r="G16">
        <v>0</v>
      </c>
      <c r="H16">
        <v>0</v>
      </c>
    </row>
    <row r="17" spans="1:8" x14ac:dyDescent="0.3">
      <c r="A17" s="2" t="str">
        <v>Political killings and torture (0=low freedom; 1=high freedom)</v>
      </c>
      <c r="B17" t="s">
        <v>36</v>
      </c>
      <c r="C17">
        <v>1</v>
      </c>
      <c r="D17">
        <v>1</v>
      </c>
      <c r="E17">
        <v>0</v>
      </c>
      <c r="F17">
        <v>0</v>
      </c>
      <c r="G17">
        <v>0</v>
      </c>
      <c r="H17">
        <v>0</v>
      </c>
    </row>
    <row r="18" spans="1:8" x14ac:dyDescent="0.3">
      <c r="A18" s="2" t="str">
        <v xml:space="preserve">Intimate partner violence against women (% of women aged 15+) </v>
      </c>
      <c r="B18" t="s">
        <v>36</v>
      </c>
      <c r="C18">
        <v>1</v>
      </c>
      <c r="D18">
        <v>1</v>
      </c>
      <c r="E18">
        <v>0</v>
      </c>
      <c r="F18">
        <v>0</v>
      </c>
      <c r="G18">
        <v>0</v>
      </c>
      <c r="H18">
        <v>0</v>
      </c>
    </row>
    <row r="19" spans="1:8" x14ac:dyDescent="0.3">
      <c r="A19" s="2" t="str">
        <v>Interpersonal violence  (deaths/100,000)</v>
      </c>
      <c r="B19" t="s">
        <v>36</v>
      </c>
      <c r="C19">
        <v>1</v>
      </c>
      <c r="D19">
        <v>1</v>
      </c>
      <c r="E19">
        <v>0</v>
      </c>
      <c r="F19">
        <v>0</v>
      </c>
      <c r="G19">
        <v>0</v>
      </c>
      <c r="H19">
        <v>0</v>
      </c>
    </row>
    <row r="20" spans="1:8" x14ac:dyDescent="0.3">
      <c r="A20" s="2" t="str">
        <v xml:space="preserve">Population with no education (proportion of pop.) </v>
      </c>
      <c r="B20" t="s">
        <v>23</v>
      </c>
      <c r="C20">
        <v>1</v>
      </c>
      <c r="D20">
        <v>1</v>
      </c>
      <c r="E20">
        <v>0</v>
      </c>
      <c r="F20">
        <v>0</v>
      </c>
      <c r="G20">
        <v>1</v>
      </c>
      <c r="H20">
        <v>1</v>
      </c>
    </row>
    <row r="21" spans="1:8" x14ac:dyDescent="0.3">
      <c r="A21" s="2" t="str">
        <v xml:space="preserve">Gender parity in basic education (distance from parity) </v>
      </c>
      <c r="B21" t="s">
        <v>23</v>
      </c>
      <c r="C21">
        <v>1</v>
      </c>
      <c r="D21">
        <v>1</v>
      </c>
      <c r="E21">
        <v>0</v>
      </c>
      <c r="F21">
        <v>0</v>
      </c>
      <c r="G21">
        <v>1</v>
      </c>
      <c r="H21">
        <v>0</v>
      </c>
    </row>
    <row r="22" spans="1:8" x14ac:dyDescent="0.3">
      <c r="A22" s="2" t="str">
        <v xml:space="preserve">Equal access to quality education (0=unequal; 4=equal) </v>
      </c>
      <c r="B22" t="s">
        <v>23</v>
      </c>
      <c r="C22">
        <v>1</v>
      </c>
      <c r="D22">
        <v>1</v>
      </c>
      <c r="E22">
        <v>0</v>
      </c>
      <c r="F22">
        <v>0</v>
      </c>
      <c r="G22">
        <v>1</v>
      </c>
      <c r="H22">
        <v>0</v>
      </c>
    </row>
    <row r="23" spans="1:8" x14ac:dyDescent="0.3">
      <c r="A23" s="2" t="str">
        <v>Mean years of schooling (years)</v>
      </c>
      <c r="B23" t="s">
        <v>23</v>
      </c>
      <c r="C23">
        <v>1</v>
      </c>
      <c r="D23">
        <v>1</v>
      </c>
      <c r="E23">
        <v>0</v>
      </c>
      <c r="F23">
        <v>1</v>
      </c>
      <c r="G23">
        <v>1</v>
      </c>
      <c r="H23">
        <v>0</v>
      </c>
    </row>
    <row r="24" spans="1:8" x14ac:dyDescent="0.3">
      <c r="A24" s="2" t="str">
        <v>Alternative sources of information (0=low; 1=high)</v>
      </c>
      <c r="B24" t="s">
        <v>26</v>
      </c>
      <c r="C24">
        <v>1</v>
      </c>
      <c r="D24">
        <v>1</v>
      </c>
      <c r="E24">
        <v>0</v>
      </c>
      <c r="F24">
        <v>0</v>
      </c>
      <c r="G24">
        <v>1</v>
      </c>
      <c r="H24">
        <v>0</v>
      </c>
    </row>
    <row r="25" spans="1:8" x14ac:dyDescent="0.3">
      <c r="A25" s="2" t="str">
        <v xml:space="preserve">Internet users (% of pop.) </v>
      </c>
      <c r="B25" t="s">
        <v>26</v>
      </c>
      <c r="C25">
        <v>1</v>
      </c>
      <c r="D25">
        <v>1</v>
      </c>
      <c r="E25">
        <v>1</v>
      </c>
      <c r="F25">
        <v>1</v>
      </c>
      <c r="G25">
        <v>1</v>
      </c>
      <c r="H25">
        <v>1</v>
      </c>
    </row>
    <row r="26" spans="1:8" x14ac:dyDescent="0.3">
      <c r="A26" s="2" t="str">
        <v xml:space="preserve">Mobile and landline telephone subscriptions (subscriptions/100 people) </v>
      </c>
      <c r="B26" t="s">
        <v>26</v>
      </c>
      <c r="C26">
        <v>1</v>
      </c>
      <c r="D26">
        <v>1</v>
      </c>
      <c r="E26">
        <v>1</v>
      </c>
      <c r="F26">
        <v>1</v>
      </c>
      <c r="G26">
        <v>1</v>
      </c>
      <c r="H26">
        <v>1</v>
      </c>
    </row>
    <row r="27" spans="1:8" x14ac:dyDescent="0.3">
      <c r="A27" s="2" t="str">
        <v>Life expectancy at 60 (years)</v>
      </c>
      <c r="B27" t="s">
        <v>25</v>
      </c>
      <c r="C27">
        <v>1</v>
      </c>
      <c r="D27">
        <v>1</v>
      </c>
      <c r="E27">
        <v>0</v>
      </c>
      <c r="F27">
        <v>0</v>
      </c>
      <c r="G27">
        <v>1</v>
      </c>
      <c r="H27">
        <v>0</v>
      </c>
    </row>
    <row r="28" spans="1:8" x14ac:dyDescent="0.3">
      <c r="A28" s="2" t="str">
        <v>Premature deaths from non-communicable diseases (deaths/100,000)</v>
      </c>
      <c r="B28" t="s">
        <v>25</v>
      </c>
      <c r="C28">
        <v>1</v>
      </c>
      <c r="D28">
        <v>1</v>
      </c>
      <c r="E28">
        <v>0</v>
      </c>
      <c r="F28">
        <v>0</v>
      </c>
      <c r="G28">
        <v>1</v>
      </c>
      <c r="H28">
        <v>0</v>
      </c>
    </row>
    <row r="29" spans="1:8" x14ac:dyDescent="0.3">
      <c r="A29" s="2" t="str">
        <v xml:space="preserve">Equal access to quality healthcare (0=unequal; 4=equal) </v>
      </c>
      <c r="B29" t="s">
        <v>25</v>
      </c>
      <c r="C29">
        <v>1</v>
      </c>
      <c r="D29">
        <v>1</v>
      </c>
      <c r="E29">
        <v>0</v>
      </c>
      <c r="F29">
        <v>0</v>
      </c>
      <c r="G29">
        <v>1</v>
      </c>
      <c r="H29">
        <v>0</v>
      </c>
    </row>
    <row r="30" spans="1:8" x14ac:dyDescent="0.3">
      <c r="A30" s="2" t="str">
        <v xml:space="preserve">Universal health coverage (% of pop.) </v>
      </c>
      <c r="B30" t="s">
        <v>25</v>
      </c>
      <c r="C30">
        <v>1</v>
      </c>
      <c r="D30">
        <v>1</v>
      </c>
      <c r="E30">
        <v>1</v>
      </c>
      <c r="F30">
        <v>1</v>
      </c>
      <c r="G30">
        <v>1</v>
      </c>
      <c r="H30">
        <v>1</v>
      </c>
    </row>
    <row r="31" spans="1:8" x14ac:dyDescent="0.3">
      <c r="A31" s="2" t="str">
        <v>Deaths from outdoor air pollution (deaths/100,000)</v>
      </c>
      <c r="B31" t="s">
        <v>36</v>
      </c>
      <c r="C31">
        <v>1</v>
      </c>
      <c r="D31">
        <v>1</v>
      </c>
      <c r="E31">
        <v>0</v>
      </c>
      <c r="F31">
        <v>0</v>
      </c>
      <c r="G31">
        <v>0</v>
      </c>
      <c r="H31">
        <v>0</v>
      </c>
    </row>
    <row r="32" spans="1:8" x14ac:dyDescent="0.3">
      <c r="A32" s="2" t="str">
        <v>Particulate matter (2.5) pollution (mean annual exposure, µg/m3)</v>
      </c>
      <c r="B32" t="s">
        <v>36</v>
      </c>
      <c r="C32">
        <v>1</v>
      </c>
      <c r="D32">
        <v>1</v>
      </c>
      <c r="E32">
        <v>0</v>
      </c>
      <c r="F32">
        <v>0</v>
      </c>
      <c r="G32">
        <v>0</v>
      </c>
      <c r="H32">
        <v>0</v>
      </c>
    </row>
    <row r="33" spans="1:8" x14ac:dyDescent="0.3">
      <c r="A33" s="2" t="str">
        <v>Deaths from lead exposure (deaths/100,000)</v>
      </c>
      <c r="B33" t="s">
        <v>36</v>
      </c>
      <c r="C33">
        <v>1</v>
      </c>
      <c r="D33">
        <v>1</v>
      </c>
      <c r="E33">
        <v>0</v>
      </c>
      <c r="F33">
        <v>0</v>
      </c>
      <c r="G33">
        <v>0</v>
      </c>
      <c r="H33">
        <v>0</v>
      </c>
    </row>
    <row r="34" spans="1:8" x14ac:dyDescent="0.3">
      <c r="A34" s="2" t="str">
        <v>Species protection (0=low; 100=high)</v>
      </c>
      <c r="B34" t="s">
        <v>36</v>
      </c>
      <c r="C34">
        <v>1</v>
      </c>
      <c r="D34">
        <v>1</v>
      </c>
      <c r="E34">
        <v>0</v>
      </c>
      <c r="F34">
        <v>0</v>
      </c>
      <c r="G34">
        <v>0</v>
      </c>
      <c r="H34">
        <v>0</v>
      </c>
    </row>
    <row r="35" spans="1:8" x14ac:dyDescent="0.3">
      <c r="A35" s="4" t="str">
        <v xml:space="preserve">Freedom of religion (0=no freedom; 4=full freedom) </v>
      </c>
      <c r="B35" t="s">
        <v>36</v>
      </c>
      <c r="C35">
        <v>0</v>
      </c>
      <c r="D35">
        <v>0</v>
      </c>
      <c r="E35">
        <v>0</v>
      </c>
      <c r="F35">
        <v>0</v>
      </c>
      <c r="G35">
        <v>0</v>
      </c>
      <c r="H35">
        <v>0</v>
      </c>
    </row>
    <row r="36" spans="1:8" x14ac:dyDescent="0.3">
      <c r="A36" s="4" t="str">
        <v xml:space="preserve">Property rights for women (0=no rights; 5=full rights) </v>
      </c>
      <c r="B36" t="s">
        <v>36</v>
      </c>
      <c r="C36">
        <v>0</v>
      </c>
      <c r="D36">
        <v>0</v>
      </c>
      <c r="E36">
        <v>0</v>
      </c>
      <c r="F36">
        <v>0</v>
      </c>
      <c r="G36">
        <v>0</v>
      </c>
      <c r="H36">
        <v>0</v>
      </c>
    </row>
    <row r="37" spans="1:8" x14ac:dyDescent="0.3">
      <c r="A37" s="4" t="str">
        <v xml:space="preserve">Freedom of assembly (0=no freedom; 4=full freedom) </v>
      </c>
      <c r="B37" t="s">
        <v>36</v>
      </c>
      <c r="C37">
        <v>0</v>
      </c>
      <c r="D37">
        <v>0</v>
      </c>
      <c r="E37">
        <v>0</v>
      </c>
      <c r="F37">
        <v>0</v>
      </c>
      <c r="G37">
        <v>0</v>
      </c>
      <c r="H37">
        <v>0</v>
      </c>
    </row>
    <row r="38" spans="1:8" x14ac:dyDescent="0.3">
      <c r="A38" s="4" t="str">
        <v>Access to justice (0=nonexistent; 1=observed)</v>
      </c>
      <c r="B38" t="s">
        <v>36</v>
      </c>
      <c r="C38">
        <v>0</v>
      </c>
      <c r="D38">
        <v>0</v>
      </c>
      <c r="E38">
        <v>0</v>
      </c>
      <c r="F38">
        <v>0</v>
      </c>
      <c r="G38">
        <v>0</v>
      </c>
      <c r="H38">
        <v>0</v>
      </c>
    </row>
    <row r="39" spans="1:8" x14ac:dyDescent="0.3">
      <c r="A39" s="4" t="str">
        <v>Freedom of discussion (0=low; 1=high)</v>
      </c>
      <c r="B39" t="s">
        <v>36</v>
      </c>
      <c r="C39">
        <v>0</v>
      </c>
      <c r="D39">
        <v>0</v>
      </c>
      <c r="E39">
        <v>0</v>
      </c>
      <c r="F39">
        <v>0</v>
      </c>
      <c r="G39">
        <v>0</v>
      </c>
      <c r="H39">
        <v>0</v>
      </c>
    </row>
    <row r="40" spans="1:8" x14ac:dyDescent="0.3">
      <c r="A40" s="4" t="str">
        <v>Political rights (1=full rights; 7=no rights)</v>
      </c>
      <c r="B40" t="s">
        <v>36</v>
      </c>
      <c r="C40">
        <v>0</v>
      </c>
      <c r="D40">
        <v>0</v>
      </c>
      <c r="E40">
        <v>0</v>
      </c>
      <c r="F40">
        <v>0</v>
      </c>
      <c r="G40">
        <v>0</v>
      </c>
      <c r="H40">
        <v>0</v>
      </c>
    </row>
    <row r="41" spans="1:8" x14ac:dyDescent="0.3">
      <c r="A41" s="4" t="str">
        <v>Public sector corruption (0=low corruption; 1=high corruption)</v>
      </c>
      <c r="B41" t="s">
        <v>36</v>
      </c>
      <c r="C41">
        <v>0</v>
      </c>
      <c r="D41">
        <v>0</v>
      </c>
      <c r="E41">
        <v>0</v>
      </c>
      <c r="F41">
        <v>0</v>
      </c>
      <c r="G41">
        <v>0</v>
      </c>
      <c r="H41">
        <v>0</v>
      </c>
    </row>
    <row r="42" spans="1:8" x14ac:dyDescent="0.3">
      <c r="A42" s="4" t="str">
        <v>Freedom of domestic movement (0=low; 1=high)</v>
      </c>
      <c r="B42" t="s">
        <v>36</v>
      </c>
      <c r="C42">
        <v>0</v>
      </c>
      <c r="D42">
        <v>0</v>
      </c>
      <c r="E42">
        <v>0</v>
      </c>
      <c r="F42">
        <v>0</v>
      </c>
      <c r="G42">
        <v>0</v>
      </c>
      <c r="H42">
        <v>0</v>
      </c>
    </row>
    <row r="43" spans="1:8" x14ac:dyDescent="0.3">
      <c r="A43" s="4" t="str">
        <v>Satisfied demand for contraception (% satisfied demand)</v>
      </c>
      <c r="B43" t="s">
        <v>36</v>
      </c>
      <c r="C43">
        <v>0</v>
      </c>
      <c r="D43">
        <v>0</v>
      </c>
      <c r="E43">
        <v>0</v>
      </c>
      <c r="F43">
        <v>0</v>
      </c>
      <c r="G43">
        <v>0</v>
      </c>
      <c r="H43">
        <v>1</v>
      </c>
    </row>
    <row r="44" spans="1:8" x14ac:dyDescent="0.3">
      <c r="A44" s="4" t="str">
        <v>Early marriage (% of married women aged 15-19)</v>
      </c>
      <c r="B44" t="s">
        <v>36</v>
      </c>
      <c r="C44">
        <v>0</v>
      </c>
      <c r="D44">
        <v>0</v>
      </c>
      <c r="E44">
        <v>0</v>
      </c>
      <c r="F44">
        <v>0</v>
      </c>
      <c r="G44">
        <v>0</v>
      </c>
      <c r="H44">
        <v>0</v>
      </c>
    </row>
    <row r="45" spans="1:8" x14ac:dyDescent="0.3">
      <c r="A45" s="4" t="str">
        <v xml:space="preserve">Vulnerable employment (% of total employment) </v>
      </c>
      <c r="B45" t="s">
        <v>36</v>
      </c>
      <c r="C45">
        <v>0</v>
      </c>
      <c r="D45">
        <v>0</v>
      </c>
      <c r="E45">
        <v>0</v>
      </c>
      <c r="F45">
        <v>0</v>
      </c>
      <c r="G45">
        <v>0</v>
      </c>
      <c r="H45">
        <v>1</v>
      </c>
    </row>
    <row r="46" spans="1:8" x14ac:dyDescent="0.3">
      <c r="A46" s="4" t="str">
        <v>Equal protection of social groups (0=low; 1=high)</v>
      </c>
      <c r="B46" t="s">
        <v>36</v>
      </c>
      <c r="C46">
        <v>0</v>
      </c>
      <c r="D46">
        <v>0</v>
      </c>
      <c r="E46">
        <v>0</v>
      </c>
      <c r="F46">
        <v>0</v>
      </c>
      <c r="G46">
        <v>0</v>
      </c>
      <c r="H46">
        <v>0</v>
      </c>
    </row>
    <row r="47" spans="1:8" x14ac:dyDescent="0.3">
      <c r="A47" s="4" t="str">
        <v>Equal access to power (0=low; 1=high)</v>
      </c>
      <c r="B47" t="s">
        <v>36</v>
      </c>
      <c r="C47">
        <v>0</v>
      </c>
      <c r="D47">
        <v>0</v>
      </c>
      <c r="E47">
        <v>0</v>
      </c>
      <c r="F47">
        <v>0</v>
      </c>
      <c r="G47">
        <v>0</v>
      </c>
      <c r="H47">
        <v>0</v>
      </c>
    </row>
    <row r="48" spans="1:8" x14ac:dyDescent="0.3">
      <c r="A48" s="4" t="str">
        <v xml:space="preserve">Power distributed by sexual orientation (0=extremely unequal; 3=equal) </v>
      </c>
      <c r="B48" t="s">
        <v>36</v>
      </c>
      <c r="C48">
        <v>0</v>
      </c>
      <c r="D48">
        <v>0</v>
      </c>
      <c r="E48">
        <v>0</v>
      </c>
      <c r="F48">
        <v>0</v>
      </c>
      <c r="G48">
        <v>0</v>
      </c>
      <c r="H48">
        <v>0</v>
      </c>
    </row>
    <row r="49" spans="1:8" x14ac:dyDescent="0.3">
      <c r="A49" s="4" t="str">
        <v xml:space="preserve">Access to public services distributed by social group (0=extremely unequal; 4=equal) </v>
      </c>
      <c r="B49" t="s">
        <v>36</v>
      </c>
      <c r="C49">
        <v>0</v>
      </c>
      <c r="D49">
        <v>0</v>
      </c>
      <c r="E49">
        <v>0</v>
      </c>
      <c r="F49">
        <v>0</v>
      </c>
      <c r="G49">
        <v>0</v>
      </c>
      <c r="H49">
        <v>0</v>
      </c>
    </row>
    <row r="50" spans="1:8" x14ac:dyDescent="0.3">
      <c r="A50" s="4" t="str">
        <v xml:space="preserve">Population with advanced education (proportion of pop.) </v>
      </c>
      <c r="B50" t="s">
        <v>23</v>
      </c>
      <c r="C50">
        <v>0</v>
      </c>
      <c r="D50">
        <v>0</v>
      </c>
      <c r="E50">
        <v>0</v>
      </c>
      <c r="F50">
        <v>0</v>
      </c>
      <c r="G50">
        <v>1</v>
      </c>
      <c r="H50">
        <v>1</v>
      </c>
    </row>
    <row r="51" spans="1:8" x14ac:dyDescent="0.3">
      <c r="A51" s="4" t="str">
        <v xml:space="preserve">Gender parity in advanced education (distance from parity) </v>
      </c>
      <c r="B51" t="s">
        <v>23</v>
      </c>
      <c r="C51">
        <v>0</v>
      </c>
      <c r="D51">
        <v>0</v>
      </c>
      <c r="E51">
        <v>0</v>
      </c>
      <c r="F51">
        <v>0</v>
      </c>
      <c r="G51">
        <v>1</v>
      </c>
      <c r="H51">
        <v>0</v>
      </c>
    </row>
    <row r="52" spans="1:8" x14ac:dyDescent="0.3">
      <c r="A52" s="4" t="str">
        <v>Respect for academic freedom (0=low; 1=high)</v>
      </c>
      <c r="B52" t="s">
        <v>23</v>
      </c>
      <c r="C52">
        <v>0</v>
      </c>
      <c r="D52">
        <v>0</v>
      </c>
      <c r="E52">
        <v>0</v>
      </c>
      <c r="F52">
        <v>0</v>
      </c>
      <c r="G52">
        <v>1</v>
      </c>
      <c r="H52">
        <v>0</v>
      </c>
    </row>
    <row r="53" spans="1:8" x14ac:dyDescent="0.3">
      <c r="A53" s="4" t="str">
        <v>Years of tertiary schooling (years)</v>
      </c>
      <c r="B53" t="s">
        <v>23</v>
      </c>
      <c r="C53">
        <v>0</v>
      </c>
      <c r="D53">
        <v>0</v>
      </c>
      <c r="E53">
        <v>0</v>
      </c>
      <c r="F53">
        <v>0</v>
      </c>
      <c r="G53">
        <v>1</v>
      </c>
      <c r="H53">
        <v>0</v>
      </c>
    </row>
    <row r="54" spans="1:8" x14ac:dyDescent="0.3">
      <c r="A54" t="s">
        <v>2</v>
      </c>
      <c r="B54" t="s">
        <v>23</v>
      </c>
      <c r="C54">
        <v>0</v>
      </c>
      <c r="D54">
        <v>1</v>
      </c>
      <c r="E54">
        <v>1</v>
      </c>
      <c r="F54">
        <v>0</v>
      </c>
      <c r="G54">
        <v>1</v>
      </c>
      <c r="H54">
        <v>1</v>
      </c>
    </row>
    <row r="55" spans="1:8" x14ac:dyDescent="0.3">
      <c r="A55" t="s">
        <v>3</v>
      </c>
      <c r="B55" t="s">
        <v>18</v>
      </c>
      <c r="C55">
        <v>0</v>
      </c>
      <c r="D55">
        <v>1</v>
      </c>
      <c r="E55">
        <v>0</v>
      </c>
      <c r="F55">
        <v>0</v>
      </c>
      <c r="G55">
        <v>1</v>
      </c>
      <c r="H55">
        <v>0</v>
      </c>
    </row>
    <row r="56" spans="1:8" x14ac:dyDescent="0.3">
      <c r="A56" t="s">
        <v>4</v>
      </c>
      <c r="B56" t="s">
        <v>18</v>
      </c>
      <c r="C56">
        <v>0</v>
      </c>
      <c r="D56">
        <v>1</v>
      </c>
      <c r="E56">
        <v>0</v>
      </c>
      <c r="F56">
        <v>0</v>
      </c>
      <c r="G56">
        <v>1</v>
      </c>
      <c r="H56">
        <v>0</v>
      </c>
    </row>
    <row r="57" spans="1:8" x14ac:dyDescent="0.3">
      <c r="A57" t="s">
        <v>5</v>
      </c>
      <c r="B57" t="s">
        <v>25</v>
      </c>
      <c r="C57">
        <v>0</v>
      </c>
      <c r="D57">
        <v>1</v>
      </c>
      <c r="E57">
        <v>0</v>
      </c>
      <c r="F57">
        <v>0</v>
      </c>
      <c r="G57">
        <v>1</v>
      </c>
      <c r="H57">
        <v>0</v>
      </c>
    </row>
    <row r="58" spans="1:8" x14ac:dyDescent="0.3">
      <c r="A58" t="s">
        <v>7</v>
      </c>
      <c r="B58" t="s">
        <v>24</v>
      </c>
      <c r="C58">
        <v>0</v>
      </c>
      <c r="D58">
        <v>1</v>
      </c>
      <c r="E58">
        <v>1</v>
      </c>
      <c r="F58">
        <v>0</v>
      </c>
      <c r="G58">
        <v>1</v>
      </c>
      <c r="H58">
        <v>1</v>
      </c>
    </row>
    <row r="59" spans="1:8" x14ac:dyDescent="0.3">
      <c r="A59" t="s">
        <v>6</v>
      </c>
      <c r="B59" t="s">
        <v>22</v>
      </c>
      <c r="C59">
        <v>0</v>
      </c>
      <c r="D59">
        <v>1</v>
      </c>
      <c r="E59">
        <v>1</v>
      </c>
      <c r="F59">
        <v>0</v>
      </c>
      <c r="G59">
        <v>1</v>
      </c>
      <c r="H59">
        <v>1</v>
      </c>
    </row>
    <row r="60" spans="1:8" x14ac:dyDescent="0.3">
      <c r="A60" t="s">
        <v>8</v>
      </c>
      <c r="B60" t="s">
        <v>25</v>
      </c>
      <c r="C60">
        <v>0</v>
      </c>
      <c r="D60">
        <v>1</v>
      </c>
      <c r="E60">
        <v>0</v>
      </c>
      <c r="F60">
        <v>0</v>
      </c>
      <c r="G60">
        <v>1</v>
      </c>
      <c r="H60">
        <v>0</v>
      </c>
    </row>
    <row r="61" spans="1:8" x14ac:dyDescent="0.3">
      <c r="A61" t="s">
        <v>9</v>
      </c>
      <c r="B61" t="s">
        <v>25</v>
      </c>
      <c r="C61">
        <v>0</v>
      </c>
      <c r="D61">
        <v>1</v>
      </c>
      <c r="E61">
        <v>0</v>
      </c>
      <c r="F61">
        <v>0</v>
      </c>
      <c r="G61">
        <v>1</v>
      </c>
      <c r="H61">
        <v>0</v>
      </c>
    </row>
    <row r="62" spans="1:8" x14ac:dyDescent="0.3">
      <c r="A62" t="s">
        <v>10</v>
      </c>
      <c r="B62" t="s">
        <v>21</v>
      </c>
      <c r="C62">
        <v>0</v>
      </c>
      <c r="D62">
        <v>1</v>
      </c>
      <c r="E62">
        <v>0</v>
      </c>
      <c r="F62">
        <v>0</v>
      </c>
      <c r="G62">
        <v>1</v>
      </c>
      <c r="H62">
        <v>0</v>
      </c>
    </row>
    <row r="63" spans="1:8" x14ac:dyDescent="0.3">
      <c r="A63" t="s">
        <v>11</v>
      </c>
      <c r="B63" t="s">
        <v>19</v>
      </c>
      <c r="C63">
        <v>0</v>
      </c>
      <c r="D63">
        <v>1</v>
      </c>
      <c r="E63">
        <v>1</v>
      </c>
      <c r="F63">
        <v>1</v>
      </c>
      <c r="G63">
        <v>1</v>
      </c>
      <c r="H63">
        <v>1</v>
      </c>
    </row>
    <row r="64" spans="1:8" x14ac:dyDescent="0.3">
      <c r="A64" t="s">
        <v>12</v>
      </c>
      <c r="B64" t="s">
        <v>36</v>
      </c>
      <c r="C64">
        <v>0</v>
      </c>
      <c r="D64">
        <v>1</v>
      </c>
      <c r="E64">
        <v>0</v>
      </c>
      <c r="F64">
        <v>0</v>
      </c>
      <c r="G64">
        <v>0</v>
      </c>
      <c r="H64">
        <v>0</v>
      </c>
    </row>
    <row r="65" spans="2:2" x14ac:dyDescent="0.3">
      <c r="B65"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B827-50C5-4E2E-BFA5-DFF2F72F5247}">
  <sheetPr>
    <tabColor theme="2" tint="-0.249977111117893"/>
  </sheetPr>
  <dimension ref="A3:D67"/>
  <sheetViews>
    <sheetView workbookViewId="0">
      <selection activeCell="H27" sqref="H27"/>
    </sheetView>
  </sheetViews>
  <sheetFormatPr defaultRowHeight="14.4" x14ac:dyDescent="0.3"/>
  <cols>
    <col min="2" max="2" width="61.77734375" customWidth="1"/>
    <col min="3" max="3" width="22.109375" customWidth="1"/>
  </cols>
  <sheetData>
    <row r="3" spans="1:3" x14ac:dyDescent="0.3">
      <c r="A3" s="1" t="s">
        <v>0</v>
      </c>
      <c r="B3" s="1" t="s">
        <v>30</v>
      </c>
      <c r="C3" s="1" t="s">
        <v>17</v>
      </c>
    </row>
    <row r="4" spans="1:3" x14ac:dyDescent="0.3">
      <c r="A4" t="s">
        <v>14</v>
      </c>
      <c r="B4" s="3" t="str" cm="1">
        <f t="array" ref="B4:B55">TRANSPOSE('[1]1990-2020 Time-series data'!$Y$2:$BX$2)</f>
        <v xml:space="preserve">Child stunting (% of pop.) </v>
      </c>
      <c r="C4" t="s">
        <v>18</v>
      </c>
    </row>
    <row r="5" spans="1:3" x14ac:dyDescent="0.3">
      <c r="B5" s="3" t="str">
        <v>Deaths from infectious diseases (deaths/100,000)</v>
      </c>
      <c r="C5" t="s">
        <v>25</v>
      </c>
    </row>
    <row r="6" spans="1:3" x14ac:dyDescent="0.3">
      <c r="B6" s="3" t="str">
        <v xml:space="preserve">Maternal mortality  (deaths/100,000 live births) </v>
      </c>
      <c r="C6" t="s">
        <v>25</v>
      </c>
    </row>
    <row r="7" spans="1:3" x14ac:dyDescent="0.3">
      <c r="B7" s="3" t="str">
        <v xml:space="preserve">Nutritional deficiencies (% of pop.) </v>
      </c>
      <c r="C7" t="s">
        <v>18</v>
      </c>
    </row>
    <row r="8" spans="1:3" x14ac:dyDescent="0.3">
      <c r="B8" s="3" t="str">
        <v xml:space="preserve">Diet low in fruits and vegetables (0=low risk; 100=high risk) </v>
      </c>
      <c r="C8" t="s">
        <v>18</v>
      </c>
    </row>
    <row r="9" spans="1:3" x14ac:dyDescent="0.3">
      <c r="B9" s="3" t="str">
        <v xml:space="preserve">Child mortality (deaths/1,000 live births) </v>
      </c>
      <c r="C9" t="s">
        <v>25</v>
      </c>
    </row>
    <row r="10" spans="1:3" x14ac:dyDescent="0.3">
      <c r="B10" s="3" t="str">
        <v xml:space="preserve">No access to a handwashing facility (0=low risk; 100=high risk) </v>
      </c>
      <c r="C10" t="s">
        <v>22</v>
      </c>
    </row>
    <row r="11" spans="1:3" x14ac:dyDescent="0.3">
      <c r="B11" s="3" t="str">
        <v>Deaths from unsafe water, sanitation and hygiene (deaths/100,000)</v>
      </c>
      <c r="C11" t="s">
        <v>22</v>
      </c>
    </row>
    <row r="12" spans="1:3" x14ac:dyDescent="0.3">
      <c r="B12" s="3" t="str">
        <v xml:space="preserve">Improved sanitation (proportion of pop.) </v>
      </c>
      <c r="C12" t="s">
        <v>24</v>
      </c>
    </row>
    <row r="13" spans="1:3" x14ac:dyDescent="0.3">
      <c r="B13" s="3" t="str">
        <v xml:space="preserve">Improved water source (proportion of pop.) </v>
      </c>
      <c r="C13" t="s">
        <v>22</v>
      </c>
    </row>
    <row r="14" spans="1:3" x14ac:dyDescent="0.3">
      <c r="A14" t="s">
        <v>13</v>
      </c>
      <c r="B14" s="2" t="str">
        <v>Deaths from household air pollution (deaths/100,000)</v>
      </c>
      <c r="C14" t="s">
        <v>21</v>
      </c>
    </row>
    <row r="15" spans="1:3" x14ac:dyDescent="0.3">
      <c r="B15" s="2" t="str">
        <v xml:space="preserve">Prevalence of cooking with coal/biomass (proportion of pop.) </v>
      </c>
      <c r="C15" t="s">
        <v>21</v>
      </c>
    </row>
    <row r="16" spans="1:3" x14ac:dyDescent="0.3">
      <c r="B16" s="2" t="str">
        <v xml:space="preserve">Access to electricity (% of pop.) </v>
      </c>
      <c r="C16" t="s">
        <v>20</v>
      </c>
    </row>
    <row r="17" spans="2:3" x14ac:dyDescent="0.3">
      <c r="B17" s="2" t="str">
        <v>Deaths from road injuries (deaths/100,000)</v>
      </c>
      <c r="C17" t="s">
        <v>36</v>
      </c>
    </row>
    <row r="18" spans="2:3" x14ac:dyDescent="0.3">
      <c r="B18" s="2" t="str">
        <v xml:space="preserve">Political violence (0=no violence; 4=violence often) </v>
      </c>
      <c r="C18" t="s">
        <v>36</v>
      </c>
    </row>
    <row r="19" spans="2:3" x14ac:dyDescent="0.3">
      <c r="B19" s="2" t="str">
        <v>Political killings and torture (0=low freedom; 1=high freedom)</v>
      </c>
      <c r="C19" t="s">
        <v>36</v>
      </c>
    </row>
    <row r="20" spans="2:3" x14ac:dyDescent="0.3">
      <c r="B20" s="2" t="str">
        <v xml:space="preserve">Intimate partner violence against women (% of women aged 15+) </v>
      </c>
      <c r="C20" t="s">
        <v>36</v>
      </c>
    </row>
    <row r="21" spans="2:3" x14ac:dyDescent="0.3">
      <c r="B21" s="2" t="str">
        <v>Interpersonal violence  (deaths/100,000)</v>
      </c>
      <c r="C21" t="s">
        <v>36</v>
      </c>
    </row>
    <row r="22" spans="2:3" x14ac:dyDescent="0.3">
      <c r="B22" s="2" t="str">
        <v xml:space="preserve">Population with no education (proportion of pop.) </v>
      </c>
      <c r="C22" t="s">
        <v>23</v>
      </c>
    </row>
    <row r="23" spans="2:3" x14ac:dyDescent="0.3">
      <c r="B23" s="2" t="str">
        <v xml:space="preserve">Gender parity in basic education (distance from parity) </v>
      </c>
      <c r="C23" t="s">
        <v>23</v>
      </c>
    </row>
    <row r="24" spans="2:3" x14ac:dyDescent="0.3">
      <c r="B24" s="2" t="str">
        <v xml:space="preserve">Equal access to quality education (0=unequal; 4=equal) </v>
      </c>
      <c r="C24" t="s">
        <v>23</v>
      </c>
    </row>
    <row r="25" spans="2:3" x14ac:dyDescent="0.3">
      <c r="B25" s="2" t="str">
        <v>Mean years of schooling (years)</v>
      </c>
      <c r="C25" t="s">
        <v>23</v>
      </c>
    </row>
    <row r="26" spans="2:3" x14ac:dyDescent="0.3">
      <c r="B26" s="2" t="str">
        <v>Alternative sources of information (0=low; 1=high)</v>
      </c>
      <c r="C26" t="s">
        <v>26</v>
      </c>
    </row>
    <row r="27" spans="2:3" x14ac:dyDescent="0.3">
      <c r="B27" s="2" t="str">
        <v xml:space="preserve">Internet users (% of pop.) </v>
      </c>
      <c r="C27" t="s">
        <v>26</v>
      </c>
    </row>
    <row r="28" spans="2:3" x14ac:dyDescent="0.3">
      <c r="B28" s="2" t="str">
        <v xml:space="preserve">Mobile and landline telephone subscriptions (subscriptions/100 people) </v>
      </c>
      <c r="C28" t="s">
        <v>26</v>
      </c>
    </row>
    <row r="29" spans="2:3" x14ac:dyDescent="0.3">
      <c r="B29" s="2" t="str">
        <v>Life expectancy at 60 (years)</v>
      </c>
      <c r="C29" t="s">
        <v>25</v>
      </c>
    </row>
    <row r="30" spans="2:3" x14ac:dyDescent="0.3">
      <c r="B30" s="2" t="str">
        <v>Premature deaths from non-communicable diseases (deaths/100,000)</v>
      </c>
      <c r="C30" t="s">
        <v>25</v>
      </c>
    </row>
    <row r="31" spans="2:3" x14ac:dyDescent="0.3">
      <c r="B31" s="2" t="str">
        <v xml:space="preserve">Equal access to quality healthcare (0=unequal; 4=equal) </v>
      </c>
      <c r="C31" t="s">
        <v>25</v>
      </c>
    </row>
    <row r="32" spans="2:3" x14ac:dyDescent="0.3">
      <c r="B32" s="2" t="str">
        <v xml:space="preserve">Universal health coverage (% of pop.) </v>
      </c>
      <c r="C32" t="s">
        <v>25</v>
      </c>
    </row>
    <row r="33" spans="1:3" x14ac:dyDescent="0.3">
      <c r="B33" s="2" t="str">
        <v>Deaths from outdoor air pollution (deaths/100,000)</v>
      </c>
      <c r="C33" t="s">
        <v>36</v>
      </c>
    </row>
    <row r="34" spans="1:3" x14ac:dyDescent="0.3">
      <c r="B34" s="2" t="str">
        <v>Particulate matter (2.5) pollution (mean annual exposure, µg/m3)</v>
      </c>
      <c r="C34" t="s">
        <v>36</v>
      </c>
    </row>
    <row r="35" spans="1:3" x14ac:dyDescent="0.3">
      <c r="B35" s="2" t="str">
        <v>Deaths from lead exposure (deaths/100,000)</v>
      </c>
      <c r="C35" t="s">
        <v>36</v>
      </c>
    </row>
    <row r="36" spans="1:3" x14ac:dyDescent="0.3">
      <c r="B36" s="2" t="str">
        <v>Species protection (0=low; 100=high)</v>
      </c>
      <c r="C36" t="s">
        <v>36</v>
      </c>
    </row>
    <row r="37" spans="1:3" x14ac:dyDescent="0.3">
      <c r="A37" t="s">
        <v>15</v>
      </c>
      <c r="B37" s="4" t="str">
        <v xml:space="preserve">Freedom of religion (0=no freedom; 4=full freedom) </v>
      </c>
      <c r="C37" t="s">
        <v>36</v>
      </c>
    </row>
    <row r="38" spans="1:3" x14ac:dyDescent="0.3">
      <c r="B38" s="4" t="str">
        <v xml:space="preserve">Property rights for women (0=no rights; 5=full rights) </v>
      </c>
      <c r="C38" t="s">
        <v>36</v>
      </c>
    </row>
    <row r="39" spans="1:3" x14ac:dyDescent="0.3">
      <c r="B39" s="4" t="str">
        <v xml:space="preserve">Freedom of assembly (0=no freedom; 4=full freedom) </v>
      </c>
      <c r="C39" t="s">
        <v>36</v>
      </c>
    </row>
    <row r="40" spans="1:3" x14ac:dyDescent="0.3">
      <c r="B40" s="4" t="str">
        <v>Access to justice (0=nonexistent; 1=observed)</v>
      </c>
      <c r="C40" t="s">
        <v>36</v>
      </c>
    </row>
    <row r="41" spans="1:3" x14ac:dyDescent="0.3">
      <c r="B41" s="4" t="str">
        <v>Freedom of discussion (0=low; 1=high)</v>
      </c>
      <c r="C41" t="s">
        <v>36</v>
      </c>
    </row>
    <row r="42" spans="1:3" x14ac:dyDescent="0.3">
      <c r="B42" s="4" t="str">
        <v>Political rights (1=full rights; 7=no rights)</v>
      </c>
      <c r="C42" t="s">
        <v>36</v>
      </c>
    </row>
    <row r="43" spans="1:3" x14ac:dyDescent="0.3">
      <c r="B43" s="4" t="str">
        <v>Public sector corruption (0=low corruption; 1=high corruption)</v>
      </c>
      <c r="C43" t="s">
        <v>36</v>
      </c>
    </row>
    <row r="44" spans="1:3" x14ac:dyDescent="0.3">
      <c r="B44" s="4" t="str">
        <v>Freedom of domestic movement (0=low; 1=high)</v>
      </c>
      <c r="C44" t="s">
        <v>36</v>
      </c>
    </row>
    <row r="45" spans="1:3" x14ac:dyDescent="0.3">
      <c r="B45" s="4" t="str">
        <v>Satisfied demand for contraception (% satisfied demand)</v>
      </c>
      <c r="C45" t="s">
        <v>36</v>
      </c>
    </row>
    <row r="46" spans="1:3" x14ac:dyDescent="0.3">
      <c r="B46" s="4" t="str">
        <v>Early marriage (% of married women aged 15-19)</v>
      </c>
      <c r="C46" t="s">
        <v>36</v>
      </c>
    </row>
    <row r="47" spans="1:3" x14ac:dyDescent="0.3">
      <c r="B47" s="4" t="str">
        <v xml:space="preserve">Vulnerable employment (% of total employment) </v>
      </c>
      <c r="C47" t="s">
        <v>36</v>
      </c>
    </row>
    <row r="48" spans="1:3" x14ac:dyDescent="0.3">
      <c r="B48" s="4" t="str">
        <v>Equal protection of social groups (0=low; 1=high)</v>
      </c>
      <c r="C48" t="s">
        <v>36</v>
      </c>
    </row>
    <row r="49" spans="1:3" x14ac:dyDescent="0.3">
      <c r="B49" s="4" t="str">
        <v>Equal access to power (0=low; 1=high)</v>
      </c>
      <c r="C49" t="s">
        <v>36</v>
      </c>
    </row>
    <row r="50" spans="1:3" x14ac:dyDescent="0.3">
      <c r="B50" s="4" t="str">
        <v xml:space="preserve">Power distributed by sexual orientation (0=extremely unequal; 3=equal) </v>
      </c>
      <c r="C50" t="s">
        <v>36</v>
      </c>
    </row>
    <row r="51" spans="1:3" x14ac:dyDescent="0.3">
      <c r="B51" s="4" t="str">
        <v xml:space="preserve">Access to public services distributed by social group (0=extremely unequal; 4=equal) </v>
      </c>
      <c r="C51" t="s">
        <v>36</v>
      </c>
    </row>
    <row r="52" spans="1:3" x14ac:dyDescent="0.3">
      <c r="B52" s="4" t="str">
        <v xml:space="preserve">Population with advanced education (proportion of pop.) </v>
      </c>
      <c r="C52" t="s">
        <v>23</v>
      </c>
    </row>
    <row r="53" spans="1:3" x14ac:dyDescent="0.3">
      <c r="B53" s="4" t="str">
        <v xml:space="preserve">Gender parity in advanced education (distance from parity) </v>
      </c>
      <c r="C53" t="s">
        <v>23</v>
      </c>
    </row>
    <row r="54" spans="1:3" x14ac:dyDescent="0.3">
      <c r="B54" s="4" t="str">
        <v>Respect for academic freedom (0=low; 1=high)</v>
      </c>
      <c r="C54" t="s">
        <v>23</v>
      </c>
    </row>
    <row r="55" spans="1:3" x14ac:dyDescent="0.3">
      <c r="B55" s="4" t="str">
        <v>Years of tertiary schooling (years)</v>
      </c>
      <c r="C55" t="s">
        <v>23</v>
      </c>
    </row>
    <row r="56" spans="1:3" x14ac:dyDescent="0.3">
      <c r="A56" s="1" t="s">
        <v>1</v>
      </c>
      <c r="B56" t="s">
        <v>2</v>
      </c>
      <c r="C56" t="s">
        <v>23</v>
      </c>
    </row>
    <row r="57" spans="1:3" x14ac:dyDescent="0.3">
      <c r="B57" t="s">
        <v>3</v>
      </c>
      <c r="C57" t="s">
        <v>18</v>
      </c>
    </row>
    <row r="58" spans="1:3" x14ac:dyDescent="0.3">
      <c r="B58" t="s">
        <v>4</v>
      </c>
      <c r="C58" t="s">
        <v>18</v>
      </c>
    </row>
    <row r="59" spans="1:3" x14ac:dyDescent="0.3">
      <c r="B59" t="s">
        <v>5</v>
      </c>
      <c r="C59" t="s">
        <v>25</v>
      </c>
    </row>
    <row r="60" spans="1:3" x14ac:dyDescent="0.3">
      <c r="B60" t="s">
        <v>7</v>
      </c>
      <c r="C60" t="s">
        <v>24</v>
      </c>
    </row>
    <row r="61" spans="1:3" x14ac:dyDescent="0.3">
      <c r="B61" t="s">
        <v>6</v>
      </c>
      <c r="C61" t="s">
        <v>22</v>
      </c>
    </row>
    <row r="62" spans="1:3" x14ac:dyDescent="0.3">
      <c r="B62" t="s">
        <v>8</v>
      </c>
      <c r="C62" t="s">
        <v>25</v>
      </c>
    </row>
    <row r="63" spans="1:3" x14ac:dyDescent="0.3">
      <c r="B63" t="s">
        <v>9</v>
      </c>
      <c r="C63" t="s">
        <v>25</v>
      </c>
    </row>
    <row r="64" spans="1:3" x14ac:dyDescent="0.3">
      <c r="B64" t="s">
        <v>10</v>
      </c>
      <c r="C64" t="s">
        <v>21</v>
      </c>
    </row>
    <row r="65" spans="2:4" x14ac:dyDescent="0.3">
      <c r="B65" t="s">
        <v>11</v>
      </c>
      <c r="C65" t="s">
        <v>19</v>
      </c>
    </row>
    <row r="66" spans="2:4" x14ac:dyDescent="0.3">
      <c r="B66" t="s">
        <v>12</v>
      </c>
      <c r="C66" t="s">
        <v>36</v>
      </c>
    </row>
    <row r="67" spans="2:4" x14ac:dyDescent="0.3">
      <c r="C67" t="s">
        <v>27</v>
      </c>
      <c r="D6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Experiment Descriptions</vt:lpstr>
      <vt:lpstr>Experiments</vt:lpstr>
      <vt:lpstr>Overview of indicators and DLS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Aske Banke</dc:creator>
  <cp:lastModifiedBy>Aske Banke</cp:lastModifiedBy>
  <dcterms:created xsi:type="dcterms:W3CDTF">2025-09-09T07:39:21Z</dcterms:created>
  <dcterms:modified xsi:type="dcterms:W3CDTF">2025-09-10T06:50:07Z</dcterms:modified>
</cp:coreProperties>
</file>