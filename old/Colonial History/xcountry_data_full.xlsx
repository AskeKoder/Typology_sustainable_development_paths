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Eudaimonic wellbeing/World Development article/Colonial History/"/>
    </mc:Choice>
  </mc:AlternateContent>
  <xr:revisionPtr revIDLastSave="0" documentId="8_{A19588A0-A968-4B26-8C0C-38B967861B3C}" xr6:coauthVersionLast="47" xr6:coauthVersionMax="47" xr10:uidLastSave="{00000000-0000-0000-0000-000000000000}"/>
  <bookViews>
    <workbookView xWindow="16690" yWindow="-21710" windowWidth="38620" windowHeight="21100" xr2:uid="{35E8101B-874C-4713-A52A-A726306BD5D0}"/>
  </bookViews>
  <sheets>
    <sheet name="xcountry_data_full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F66" i="1" l="1"/>
  <c r="J66" i="1"/>
  <c r="K6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6" i="1"/>
  <c r="I37" i="1"/>
  <c r="I38" i="1"/>
  <c r="I39" i="1"/>
  <c r="I40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6" i="1"/>
  <c r="G57" i="1"/>
  <c r="G58" i="1"/>
  <c r="G59" i="1"/>
  <c r="G60" i="1"/>
  <c r="G61" i="1"/>
  <c r="G62" i="1"/>
  <c r="G63" i="1"/>
  <c r="G64" i="1"/>
  <c r="G65" i="1"/>
  <c r="G2" i="1"/>
  <c r="I66" i="1" l="1"/>
  <c r="G66" i="1"/>
  <c r="H66" i="1"/>
</calcChain>
</file>

<file path=xl/sharedStrings.xml><?xml version="1.0" encoding="utf-8"?>
<sst xmlns="http://schemas.openxmlformats.org/spreadsheetml/2006/main" count="101" uniqueCount="101">
  <si>
    <t>code</t>
  </si>
  <si>
    <t>africa</t>
  </si>
  <si>
    <t>lat_abst</t>
  </si>
  <si>
    <t>asia</t>
  </si>
  <si>
    <t>baseco</t>
  </si>
  <si>
    <t>f_brit</t>
  </si>
  <si>
    <t>f_french</t>
  </si>
  <si>
    <t>temp1</t>
  </si>
  <si>
    <t>temp2</t>
  </si>
  <si>
    <t>temp3</t>
  </si>
  <si>
    <t>temp4</t>
  </si>
  <si>
    <t>temp5</t>
  </si>
  <si>
    <t>humid1</t>
  </si>
  <si>
    <t>humid2</t>
  </si>
  <si>
    <t>humid3</t>
  </si>
  <si>
    <t>humid4</t>
  </si>
  <si>
    <t>malfal94</t>
  </si>
  <si>
    <t>lpd1500s</t>
  </si>
  <si>
    <t>america</t>
  </si>
  <si>
    <t>prienr1900</t>
  </si>
  <si>
    <t>cath1900</t>
  </si>
  <si>
    <t>prot1900</t>
  </si>
  <si>
    <t>musl1900</t>
  </si>
  <si>
    <t>Yrsmis60</t>
  </si>
  <si>
    <t>ruleoflaw</t>
  </si>
  <si>
    <t>protmiss</t>
  </si>
  <si>
    <t>dummy_dennis</t>
  </si>
  <si>
    <t>neoeuropes</t>
  </si>
  <si>
    <t>logpgdp05</t>
  </si>
  <si>
    <t>tyr05_n</t>
  </si>
  <si>
    <t>lcapped</t>
  </si>
  <si>
    <t>prienr1870</t>
  </si>
  <si>
    <t>prienr1940</t>
  </si>
  <si>
    <t>AGO</t>
  </si>
  <si>
    <t>ARG</t>
  </si>
  <si>
    <t>AUS</t>
  </si>
  <si>
    <t>BFA</t>
  </si>
  <si>
    <t>BGD</t>
  </si>
  <si>
    <t>BHS</t>
  </si>
  <si>
    <t>BOL</t>
  </si>
  <si>
    <t>BRA</t>
  </si>
  <si>
    <t>CAN</t>
  </si>
  <si>
    <t>CHL</t>
  </si>
  <si>
    <t>CIV</t>
  </si>
  <si>
    <t>CMR</t>
  </si>
  <si>
    <t>COG</t>
  </si>
  <si>
    <t>COL</t>
  </si>
  <si>
    <t>CRI</t>
  </si>
  <si>
    <t>DOM</t>
  </si>
  <si>
    <t>DZA</t>
  </si>
  <si>
    <t>ECU</t>
  </si>
  <si>
    <t>EGY</t>
  </si>
  <si>
    <t>ETH</t>
  </si>
  <si>
    <t>GAB</t>
  </si>
  <si>
    <t>GHA</t>
  </si>
  <si>
    <t>GIN</t>
  </si>
  <si>
    <t>GMB</t>
  </si>
  <si>
    <t>GTM</t>
  </si>
  <si>
    <t>GUY</t>
  </si>
  <si>
    <t>HKG</t>
  </si>
  <si>
    <t>HND</t>
  </si>
  <si>
    <t>HTI</t>
  </si>
  <si>
    <t>IDN</t>
  </si>
  <si>
    <t>IND</t>
  </si>
  <si>
    <t>JAM</t>
  </si>
  <si>
    <t>KEN</t>
  </si>
  <si>
    <t>LKA</t>
  </si>
  <si>
    <t>MAR</t>
  </si>
  <si>
    <t>MDG</t>
  </si>
  <si>
    <t>MEX</t>
  </si>
  <si>
    <t>MLI</t>
  </si>
  <si>
    <t>MLT</t>
  </si>
  <si>
    <t>MYS</t>
  </si>
  <si>
    <t>NER</t>
  </si>
  <si>
    <t>NGA</t>
  </si>
  <si>
    <t>NIC</t>
  </si>
  <si>
    <t>NZL</t>
  </si>
  <si>
    <t>PAK</t>
  </si>
  <si>
    <t>PAN</t>
  </si>
  <si>
    <t>PER</t>
  </si>
  <si>
    <t>PRY</t>
  </si>
  <si>
    <t>SDN</t>
  </si>
  <si>
    <t>SEN</t>
  </si>
  <si>
    <t>SGP</t>
  </si>
  <si>
    <t>SLE</t>
  </si>
  <si>
    <t>SLV</t>
  </si>
  <si>
    <t>TGO</t>
  </si>
  <si>
    <t>TTO</t>
  </si>
  <si>
    <t>TUN</t>
  </si>
  <si>
    <t>TZA</t>
  </si>
  <si>
    <t>UGA</t>
  </si>
  <si>
    <t>URY</t>
  </si>
  <si>
    <t>USA</t>
  </si>
  <si>
    <t>VEN</t>
  </si>
  <si>
    <t>VNM</t>
  </si>
  <si>
    <t>ZAF</t>
  </si>
  <si>
    <t>ZAR</t>
  </si>
  <si>
    <t>f_spain</t>
  </si>
  <si>
    <t>f_portugal</t>
  </si>
  <si>
    <t>f_germany</t>
  </si>
  <si>
    <t>f_netherland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</si>
</sst>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ber\Downloads\european-overseas-colonies-and-their-colonizers\european-overseas-colonies-and-their-colonizers.csv" TargetMode="External"/><Relationship Id="rId1" Type="http://schemas.openxmlformats.org/officeDocument/2006/relationships/externalLinkPath" Target="file:///C:\Users\etber\Downloads\european-overseas-colonies-and-their-colonizers\european-overseas-colonies-and-their-colonizer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ropean-overseas-colonies-and-"/>
      <sheetName val="Sheet1"/>
    </sheetNames>
    <sheetDataSet>
      <sheetData sheetId="0"/>
      <sheetData sheetId="1">
        <row r="32">
          <cell r="A32" t="str">
            <v>BDI</v>
          </cell>
          <cell r="B32">
            <v>1899</v>
          </cell>
          <cell r="C32" t="str">
            <v>Germany</v>
          </cell>
          <cell r="D32">
            <v>1</v>
          </cell>
        </row>
        <row r="33">
          <cell r="A33" t="str">
            <v>CMR</v>
          </cell>
          <cell r="B33">
            <v>1884</v>
          </cell>
          <cell r="C33" t="str">
            <v>Germany</v>
          </cell>
          <cell r="D33">
            <v>1</v>
          </cell>
        </row>
        <row r="34">
          <cell r="A34" t="str">
            <v>MHL</v>
          </cell>
          <cell r="B34">
            <v>1885</v>
          </cell>
          <cell r="C34" t="str">
            <v>Germany</v>
          </cell>
          <cell r="D34">
            <v>1</v>
          </cell>
        </row>
        <row r="35">
          <cell r="A35" t="str">
            <v>NAM</v>
          </cell>
          <cell r="B35">
            <v>1885</v>
          </cell>
          <cell r="C35" t="str">
            <v>Germany</v>
          </cell>
          <cell r="D35">
            <v>1</v>
          </cell>
        </row>
        <row r="36">
          <cell r="A36" t="str">
            <v>NRU</v>
          </cell>
          <cell r="B36">
            <v>1888</v>
          </cell>
          <cell r="C36" t="str">
            <v>Germany</v>
          </cell>
          <cell r="D36">
            <v>1</v>
          </cell>
        </row>
        <row r="37">
          <cell r="A37" t="str">
            <v>PLW</v>
          </cell>
          <cell r="B37">
            <v>1885</v>
          </cell>
          <cell r="C37" t="str">
            <v>Germany</v>
          </cell>
          <cell r="D37">
            <v>1</v>
          </cell>
        </row>
        <row r="38">
          <cell r="A38" t="str">
            <v>RWA</v>
          </cell>
          <cell r="B38">
            <v>1899</v>
          </cell>
          <cell r="C38" t="str">
            <v>Germany</v>
          </cell>
          <cell r="D38">
            <v>1</v>
          </cell>
        </row>
        <row r="39">
          <cell r="A39" t="str">
            <v>WSM</v>
          </cell>
          <cell r="B39">
            <v>1900</v>
          </cell>
          <cell r="C39" t="str">
            <v>Germany</v>
          </cell>
          <cell r="D39">
            <v>1</v>
          </cell>
        </row>
        <row r="40">
          <cell r="A40" t="str">
            <v>SLB</v>
          </cell>
          <cell r="B40">
            <v>1885</v>
          </cell>
          <cell r="C40" t="str">
            <v>Germany</v>
          </cell>
          <cell r="D40">
            <v>1</v>
          </cell>
        </row>
        <row r="41">
          <cell r="A41" t="str">
            <v>TZA</v>
          </cell>
          <cell r="B41">
            <v>1891</v>
          </cell>
          <cell r="C41" t="str">
            <v>Germany</v>
          </cell>
          <cell r="D41">
            <v>1</v>
          </cell>
        </row>
        <row r="42">
          <cell r="A42" t="str">
            <v>TGO</v>
          </cell>
          <cell r="B42">
            <v>1885</v>
          </cell>
          <cell r="C42" t="str">
            <v>Germany</v>
          </cell>
          <cell r="D42">
            <v>1</v>
          </cell>
        </row>
        <row r="45">
          <cell r="A45" t="str">
            <v>GUY</v>
          </cell>
          <cell r="B45">
            <v>1580</v>
          </cell>
          <cell r="C45" t="str">
            <v>Netherlands</v>
          </cell>
          <cell r="D45">
            <v>1</v>
          </cell>
        </row>
        <row r="46">
          <cell r="A46" t="str">
            <v>IDN</v>
          </cell>
          <cell r="B46">
            <v>1623</v>
          </cell>
          <cell r="C46" t="str">
            <v>Netherlands</v>
          </cell>
          <cell r="D46">
            <v>1</v>
          </cell>
        </row>
        <row r="47">
          <cell r="A47" t="str">
            <v>ZAF</v>
          </cell>
          <cell r="B47">
            <v>1652</v>
          </cell>
          <cell r="C47" t="str">
            <v>Netherlands</v>
          </cell>
          <cell r="D47">
            <v>1</v>
          </cell>
        </row>
        <row r="48">
          <cell r="A48" t="str">
            <v>SUR</v>
          </cell>
          <cell r="B48">
            <v>1667</v>
          </cell>
          <cell r="C48" t="str">
            <v>Netherlands</v>
          </cell>
          <cell r="D48">
            <v>1</v>
          </cell>
        </row>
        <row r="49">
          <cell r="A49" t="str">
            <v>AGO</v>
          </cell>
          <cell r="B49">
            <v>1576</v>
          </cell>
          <cell r="C49" t="str">
            <v>Portugal</v>
          </cell>
          <cell r="D49">
            <v>1</v>
          </cell>
        </row>
        <row r="50">
          <cell r="A50" t="str">
            <v>BRA</v>
          </cell>
          <cell r="B50">
            <v>1533</v>
          </cell>
          <cell r="C50" t="str">
            <v>Portugal</v>
          </cell>
          <cell r="D50">
            <v>1</v>
          </cell>
        </row>
        <row r="51">
          <cell r="A51" t="str">
            <v>CPV</v>
          </cell>
          <cell r="B51">
            <v>1462</v>
          </cell>
          <cell r="C51" t="str">
            <v>Portugal</v>
          </cell>
          <cell r="D51">
            <v>1</v>
          </cell>
        </row>
        <row r="52">
          <cell r="A52" t="str">
            <v>TLS</v>
          </cell>
          <cell r="B52">
            <v>1642</v>
          </cell>
          <cell r="C52" t="str">
            <v>Portugal</v>
          </cell>
          <cell r="D52">
            <v>1</v>
          </cell>
        </row>
        <row r="53">
          <cell r="A53" t="str">
            <v>GNQ</v>
          </cell>
          <cell r="B53">
            <v>1778</v>
          </cell>
          <cell r="C53" t="str">
            <v>Portugal</v>
          </cell>
          <cell r="D53">
            <v>1</v>
          </cell>
        </row>
        <row r="54">
          <cell r="A54" t="str">
            <v>GHA</v>
          </cell>
          <cell r="B54">
            <v>1482</v>
          </cell>
          <cell r="C54" t="str">
            <v>Portugal</v>
          </cell>
          <cell r="D54">
            <v>1</v>
          </cell>
        </row>
        <row r="55">
          <cell r="A55" t="str">
            <v>GNB</v>
          </cell>
          <cell r="B55">
            <v>1879</v>
          </cell>
          <cell r="C55" t="str">
            <v>Portugal</v>
          </cell>
          <cell r="D55">
            <v>1</v>
          </cell>
        </row>
        <row r="56">
          <cell r="A56" t="str">
            <v>MYS</v>
          </cell>
          <cell r="B56">
            <v>1511</v>
          </cell>
          <cell r="C56" t="str">
            <v>Portugal</v>
          </cell>
          <cell r="D56">
            <v>1</v>
          </cell>
        </row>
        <row r="57">
          <cell r="A57" t="str">
            <v>MOZ</v>
          </cell>
          <cell r="B57">
            <v>1885</v>
          </cell>
          <cell r="C57" t="str">
            <v>Portugal</v>
          </cell>
          <cell r="D57">
            <v>1</v>
          </cell>
        </row>
        <row r="58">
          <cell r="A58" t="str">
            <v>STP</v>
          </cell>
          <cell r="B58">
            <v>1522</v>
          </cell>
          <cell r="C58" t="str">
            <v>Portugal</v>
          </cell>
          <cell r="D58">
            <v>1</v>
          </cell>
        </row>
        <row r="59">
          <cell r="A59" t="str">
            <v>LKA</v>
          </cell>
          <cell r="B59">
            <v>1619</v>
          </cell>
          <cell r="C59" t="str">
            <v>Portugal</v>
          </cell>
          <cell r="D5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DF5C-6DBB-4A22-ABE1-82539862DB2E}">
  <dimension ref="A1:AK66"/>
  <sheetViews>
    <sheetView tabSelected="1" workbookViewId="0">
      <selection activeCell="H14" sqref="H14"/>
    </sheetView>
  </sheetViews>
  <sheetFormatPr defaultRowHeight="14.4" x14ac:dyDescent="0.3"/>
  <cols>
    <col min="1" max="11" width="8.88671875" style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99</v>
      </c>
      <c r="H1" s="1" t="s">
        <v>100</v>
      </c>
      <c r="I1" s="1" t="s">
        <v>98</v>
      </c>
      <c r="J1" s="1" t="s">
        <v>97</v>
      </c>
      <c r="K1" s="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</row>
    <row r="2" spans="1:37" x14ac:dyDescent="0.3">
      <c r="A2" s="1" t="s">
        <v>33</v>
      </c>
      <c r="B2" s="1">
        <v>1</v>
      </c>
      <c r="C2" s="1">
        <v>0.13666666999999999</v>
      </c>
      <c r="D2" s="1">
        <v>0</v>
      </c>
      <c r="E2" s="1">
        <v>1</v>
      </c>
      <c r="F2" s="1">
        <v>0</v>
      </c>
      <c r="G2" s="1">
        <f>_xlfn.IFNA(VLOOKUP($A2,[1]Sheet1!$A$32:$D$42,4,FALSE),0)</f>
        <v>0</v>
      </c>
      <c r="H2" s="1">
        <f>_xlfn.IFNA(VLOOKUP($A2,[1]Sheet1!$A$45:$D$48,4,FALSE),0)</f>
        <v>0</v>
      </c>
      <c r="I2" s="1">
        <f>_xlfn.IFNA(VLOOKUP($A2,[1]Sheet1!$A$49:$D$59,4,FALSE),0)</f>
        <v>1</v>
      </c>
      <c r="J2" s="1">
        <v>0</v>
      </c>
      <c r="K2" s="1">
        <v>0</v>
      </c>
      <c r="L2">
        <v>26</v>
      </c>
      <c r="M2">
        <v>28</v>
      </c>
      <c r="N2">
        <v>37</v>
      </c>
      <c r="O2">
        <v>14</v>
      </c>
      <c r="P2">
        <v>21</v>
      </c>
      <c r="Q2">
        <v>77</v>
      </c>
      <c r="R2">
        <v>84</v>
      </c>
      <c r="S2">
        <v>74</v>
      </c>
      <c r="T2">
        <v>78</v>
      </c>
      <c r="U2">
        <v>0.95</v>
      </c>
      <c r="V2">
        <v>0.40546510000000002</v>
      </c>
      <c r="W2">
        <v>0</v>
      </c>
      <c r="X2">
        <v>0.2</v>
      </c>
      <c r="Y2">
        <v>0.5</v>
      </c>
      <c r="Z2">
        <v>0.1</v>
      </c>
      <c r="AA2">
        <v>0</v>
      </c>
      <c r="AB2">
        <v>82</v>
      </c>
      <c r="AC2">
        <v>-1.22</v>
      </c>
      <c r="AD2">
        <v>0.47341588000000001</v>
      </c>
      <c r="AE2">
        <v>0</v>
      </c>
      <c r="AF2">
        <v>0</v>
      </c>
      <c r="AG2">
        <v>8.199643</v>
      </c>
      <c r="AH2">
        <v>2.169</v>
      </c>
      <c r="AI2">
        <v>5.5214610000000004</v>
      </c>
      <c r="AJ2">
        <v>0.1</v>
      </c>
      <c r="AK2">
        <v>0.6</v>
      </c>
    </row>
    <row r="3" spans="1:37" x14ac:dyDescent="0.3">
      <c r="A3" s="1" t="s">
        <v>34</v>
      </c>
      <c r="B3" s="1">
        <v>0</v>
      </c>
      <c r="C3" s="1">
        <v>0.37777779</v>
      </c>
      <c r="D3" s="1">
        <v>0</v>
      </c>
      <c r="E3" s="1">
        <v>1</v>
      </c>
      <c r="F3" s="1">
        <v>0</v>
      </c>
      <c r="G3" s="1">
        <f>_xlfn.IFNA(VLOOKUP($A3,[1]Sheet1!$A$32:$D$42,4,FALSE),0)</f>
        <v>0</v>
      </c>
      <c r="H3" s="1">
        <f>_xlfn.IFNA(VLOOKUP($A3,[1]Sheet1!$A$45:$D$48,4,FALSE),0)</f>
        <v>0</v>
      </c>
      <c r="I3" s="1">
        <f>_xlfn.IFNA(VLOOKUP($A3,[1]Sheet1!$A$49:$D$59,4,FALSE),0)</f>
        <v>0</v>
      </c>
      <c r="J3" s="1">
        <v>1</v>
      </c>
      <c r="K3" s="1">
        <v>0</v>
      </c>
      <c r="L3">
        <v>17</v>
      </c>
      <c r="M3">
        <v>25</v>
      </c>
      <c r="N3">
        <v>40</v>
      </c>
      <c r="O3">
        <v>-6</v>
      </c>
      <c r="P3">
        <v>6</v>
      </c>
      <c r="Q3">
        <v>81</v>
      </c>
      <c r="R3">
        <v>92</v>
      </c>
      <c r="S3">
        <v>60</v>
      </c>
      <c r="T3">
        <v>79</v>
      </c>
      <c r="U3">
        <v>0</v>
      </c>
      <c r="V3">
        <v>-2.2107220000000001</v>
      </c>
      <c r="W3">
        <v>1</v>
      </c>
      <c r="X3">
        <v>33.9</v>
      </c>
      <c r="Y3">
        <v>97.4</v>
      </c>
      <c r="Z3">
        <v>0.7</v>
      </c>
      <c r="AA3">
        <v>0.1</v>
      </c>
      <c r="AB3">
        <v>124</v>
      </c>
      <c r="AC3">
        <v>-0.67</v>
      </c>
      <c r="AD3">
        <v>0.48671687000000002</v>
      </c>
      <c r="AE3">
        <v>0</v>
      </c>
      <c r="AF3">
        <v>0</v>
      </c>
      <c r="AG3">
        <v>9.2903900000000004</v>
      </c>
      <c r="AH3">
        <v>8.8700340000000004</v>
      </c>
      <c r="AI3">
        <v>4.2326560000000004</v>
      </c>
    </row>
    <row r="4" spans="1:37" x14ac:dyDescent="0.3">
      <c r="A4" s="1" t="s">
        <v>35</v>
      </c>
      <c r="B4" s="1">
        <v>0</v>
      </c>
      <c r="C4" s="1">
        <v>0.3</v>
      </c>
      <c r="D4" s="1">
        <v>0</v>
      </c>
      <c r="E4" s="1">
        <v>1</v>
      </c>
      <c r="F4" s="1">
        <v>0</v>
      </c>
      <c r="G4" s="1">
        <f>_xlfn.IFNA(VLOOKUP($A4,[1]Sheet1!$A$32:$D$42,4,FALSE),0)</f>
        <v>0</v>
      </c>
      <c r="H4" s="1">
        <f>_xlfn.IFNA(VLOOKUP($A4,[1]Sheet1!$A$45:$D$48,4,FALSE),0)</f>
        <v>0</v>
      </c>
      <c r="I4" s="1">
        <f>_xlfn.IFNA(VLOOKUP($A4,[1]Sheet1!$A$49:$D$59,4,FALSE),0)</f>
        <v>0</v>
      </c>
      <c r="J4" s="1">
        <v>0</v>
      </c>
      <c r="K4" s="1">
        <v>1</v>
      </c>
      <c r="L4">
        <v>17</v>
      </c>
      <c r="M4">
        <v>18</v>
      </c>
      <c r="N4">
        <v>43</v>
      </c>
      <c r="O4">
        <v>-10</v>
      </c>
      <c r="P4">
        <v>3</v>
      </c>
      <c r="Q4">
        <v>56</v>
      </c>
      <c r="R4">
        <v>85</v>
      </c>
      <c r="S4">
        <v>35</v>
      </c>
      <c r="T4">
        <v>64</v>
      </c>
      <c r="U4">
        <v>0</v>
      </c>
      <c r="V4">
        <v>-3.6483569999999999</v>
      </c>
      <c r="W4">
        <v>0</v>
      </c>
      <c r="X4">
        <v>87.3</v>
      </c>
      <c r="Y4">
        <v>22.7</v>
      </c>
      <c r="Z4">
        <v>73.7</v>
      </c>
      <c r="AA4">
        <v>0.3</v>
      </c>
      <c r="AC4">
        <v>1.74</v>
      </c>
      <c r="AD4">
        <v>3.8857142999999997E-2</v>
      </c>
      <c r="AE4">
        <v>1</v>
      </c>
      <c r="AF4">
        <v>1</v>
      </c>
      <c r="AG4">
        <v>10.395712</v>
      </c>
      <c r="AH4">
        <v>11.94394</v>
      </c>
      <c r="AI4">
        <v>2.1459312000000001</v>
      </c>
    </row>
    <row r="5" spans="1:37" x14ac:dyDescent="0.3">
      <c r="A5" s="1" t="s">
        <v>36</v>
      </c>
      <c r="B5" s="1">
        <v>1</v>
      </c>
      <c r="C5" s="1">
        <v>0.14444445</v>
      </c>
      <c r="D5" s="1">
        <v>0</v>
      </c>
      <c r="E5" s="1">
        <v>1</v>
      </c>
      <c r="F5" s="1">
        <v>1</v>
      </c>
      <c r="G5" s="1">
        <f>_xlfn.IFNA(VLOOKUP($A5,[1]Sheet1!$A$32:$D$42,4,FALSE),0)</f>
        <v>0</v>
      </c>
      <c r="H5" s="1">
        <f>_xlfn.IFNA(VLOOKUP($A5,[1]Sheet1!$A$45:$D$48,4,FALSE),0)</f>
        <v>0</v>
      </c>
      <c r="I5" s="1">
        <f>_xlfn.IFNA(VLOOKUP($A5,[1]Sheet1!$A$49:$D$59,4,FALSE),0)</f>
        <v>0</v>
      </c>
      <c r="J5" s="1">
        <v>0</v>
      </c>
      <c r="K5" s="1">
        <v>0</v>
      </c>
      <c r="L5">
        <v>29</v>
      </c>
      <c r="M5">
        <v>38</v>
      </c>
      <c r="N5">
        <v>48</v>
      </c>
      <c r="O5">
        <v>9</v>
      </c>
      <c r="P5">
        <v>19</v>
      </c>
      <c r="Q5">
        <v>38</v>
      </c>
      <c r="R5">
        <v>81</v>
      </c>
      <c r="S5">
        <v>19</v>
      </c>
      <c r="T5">
        <v>67</v>
      </c>
      <c r="U5">
        <v>0.95</v>
      </c>
      <c r="V5">
        <v>1.442202</v>
      </c>
      <c r="W5">
        <v>0</v>
      </c>
      <c r="X5">
        <v>3</v>
      </c>
      <c r="Y5">
        <v>0</v>
      </c>
      <c r="Z5">
        <v>0</v>
      </c>
      <c r="AA5">
        <v>10</v>
      </c>
      <c r="AB5">
        <v>37</v>
      </c>
      <c r="AC5">
        <v>-0.22</v>
      </c>
      <c r="AD5">
        <v>3.9800003E-2</v>
      </c>
      <c r="AE5">
        <v>0</v>
      </c>
      <c r="AF5">
        <v>0</v>
      </c>
      <c r="AG5">
        <v>6.9147270000000001</v>
      </c>
      <c r="AH5">
        <v>0.72799999999999998</v>
      </c>
      <c r="AI5">
        <v>5.5214610000000004</v>
      </c>
      <c r="AJ5">
        <v>0.1</v>
      </c>
      <c r="AK5">
        <v>2</v>
      </c>
    </row>
    <row r="6" spans="1:37" x14ac:dyDescent="0.3">
      <c r="A6" s="1" t="s">
        <v>37</v>
      </c>
      <c r="B6" s="1">
        <v>0</v>
      </c>
      <c r="C6" s="1">
        <v>0.26666667999999999</v>
      </c>
      <c r="D6" s="1">
        <v>1</v>
      </c>
      <c r="E6" s="1">
        <v>1</v>
      </c>
      <c r="F6" s="1">
        <v>0</v>
      </c>
      <c r="G6" s="1">
        <f>_xlfn.IFNA(VLOOKUP($A6,[1]Sheet1!$A$32:$D$42,4,FALSE),0)</f>
        <v>0</v>
      </c>
      <c r="H6" s="1">
        <f>_xlfn.IFNA(VLOOKUP($A6,[1]Sheet1!$A$45:$D$48,4,FALSE),0)</f>
        <v>0</v>
      </c>
      <c r="I6" s="1">
        <f>_xlfn.IFNA(VLOOKUP($A6,[1]Sheet1!$A$49:$D$59,4,FALSE),0)</f>
        <v>0</v>
      </c>
      <c r="J6" s="1">
        <v>0</v>
      </c>
      <c r="K6" s="1">
        <v>1</v>
      </c>
      <c r="L6">
        <v>25</v>
      </c>
      <c r="M6">
        <v>29</v>
      </c>
      <c r="N6">
        <v>42</v>
      </c>
      <c r="O6">
        <v>7</v>
      </c>
      <c r="P6">
        <v>24</v>
      </c>
      <c r="Q6">
        <v>37</v>
      </c>
      <c r="R6">
        <v>74</v>
      </c>
      <c r="S6">
        <v>37</v>
      </c>
      <c r="T6">
        <v>74</v>
      </c>
      <c r="U6">
        <v>0.12008000000000001</v>
      </c>
      <c r="V6">
        <v>3.1654751000000001</v>
      </c>
      <c r="W6">
        <v>0</v>
      </c>
      <c r="X6">
        <v>0.6</v>
      </c>
      <c r="Y6">
        <v>0.1</v>
      </c>
      <c r="Z6">
        <v>0</v>
      </c>
      <c r="AA6">
        <v>65.599999999999994</v>
      </c>
      <c r="AB6">
        <v>165</v>
      </c>
      <c r="AC6">
        <v>-0.76</v>
      </c>
      <c r="AD6">
        <v>6.6094874999999997E-2</v>
      </c>
      <c r="AE6">
        <v>0</v>
      </c>
      <c r="AF6">
        <v>0</v>
      </c>
      <c r="AG6">
        <v>7.0601295999999998</v>
      </c>
      <c r="AH6">
        <v>4.1860331999999998</v>
      </c>
      <c r="AI6">
        <v>4.2684379999999997</v>
      </c>
    </row>
    <row r="7" spans="1:37" x14ac:dyDescent="0.3">
      <c r="A7" s="1" t="s">
        <v>38</v>
      </c>
      <c r="B7" s="1">
        <v>0</v>
      </c>
      <c r="C7" s="1">
        <v>0.26833331999999999</v>
      </c>
      <c r="D7" s="1">
        <v>0</v>
      </c>
      <c r="E7" s="1">
        <v>1</v>
      </c>
      <c r="F7" s="1">
        <v>0</v>
      </c>
      <c r="G7" s="1">
        <f>_xlfn.IFNA(VLOOKUP($A7,[1]Sheet1!$A$32:$D$42,4,FALSE),0)</f>
        <v>0</v>
      </c>
      <c r="H7" s="1">
        <f>_xlfn.IFNA(VLOOKUP($A7,[1]Sheet1!$A$45:$D$48,4,FALSE),0)</f>
        <v>0</v>
      </c>
      <c r="I7" s="1">
        <f>_xlfn.IFNA(VLOOKUP($A7,[1]Sheet1!$A$49:$D$59,4,FALSE),0)</f>
        <v>0</v>
      </c>
      <c r="J7" s="1">
        <v>0</v>
      </c>
      <c r="K7" s="1">
        <v>1</v>
      </c>
      <c r="L7">
        <v>25</v>
      </c>
      <c r="M7">
        <v>29</v>
      </c>
      <c r="N7">
        <v>34</v>
      </c>
      <c r="O7">
        <v>5</v>
      </c>
      <c r="P7">
        <v>19</v>
      </c>
      <c r="Q7">
        <v>79</v>
      </c>
      <c r="R7">
        <v>84</v>
      </c>
      <c r="S7">
        <v>62</v>
      </c>
      <c r="T7">
        <v>73</v>
      </c>
      <c r="V7">
        <v>0.37843648000000002</v>
      </c>
      <c r="W7">
        <v>1</v>
      </c>
      <c r="X7">
        <v>71.900000000000006</v>
      </c>
      <c r="Y7">
        <v>10</v>
      </c>
      <c r="Z7">
        <v>87.3</v>
      </c>
      <c r="AA7">
        <v>0</v>
      </c>
      <c r="AB7">
        <v>160</v>
      </c>
      <c r="AC7">
        <v>0.77</v>
      </c>
      <c r="AD7">
        <v>9.0513100000000009</v>
      </c>
      <c r="AE7">
        <v>0</v>
      </c>
      <c r="AF7">
        <v>0</v>
      </c>
      <c r="AG7">
        <v>10.348153</v>
      </c>
      <c r="AI7">
        <v>4.4426512999999996</v>
      </c>
    </row>
    <row r="8" spans="1:37" x14ac:dyDescent="0.3">
      <c r="A8" s="1" t="s">
        <v>39</v>
      </c>
      <c r="B8" s="1">
        <v>0</v>
      </c>
      <c r="C8" s="1">
        <v>0.18888889</v>
      </c>
      <c r="D8" s="1">
        <v>0</v>
      </c>
      <c r="E8" s="1">
        <v>1</v>
      </c>
      <c r="F8" s="1">
        <v>0</v>
      </c>
      <c r="G8" s="1">
        <f>_xlfn.IFNA(VLOOKUP($A8,[1]Sheet1!$A$32:$D$42,4,FALSE),0)</f>
        <v>0</v>
      </c>
      <c r="H8" s="1">
        <f>_xlfn.IFNA(VLOOKUP($A8,[1]Sheet1!$A$45:$D$48,4,FALSE),0)</f>
        <v>0</v>
      </c>
      <c r="I8" s="1">
        <f>_xlfn.IFNA(VLOOKUP($A8,[1]Sheet1!$A$49:$D$59,4,FALSE),0)</f>
        <v>0</v>
      </c>
      <c r="J8" s="1">
        <v>1</v>
      </c>
      <c r="K8" s="1">
        <v>0</v>
      </c>
      <c r="L8">
        <v>12</v>
      </c>
      <c r="M8">
        <v>21</v>
      </c>
      <c r="N8">
        <v>27</v>
      </c>
      <c r="O8">
        <v>-3</v>
      </c>
      <c r="P8">
        <v>2</v>
      </c>
      <c r="Q8">
        <v>77</v>
      </c>
      <c r="R8">
        <v>93</v>
      </c>
      <c r="S8">
        <v>49</v>
      </c>
      <c r="T8">
        <v>74</v>
      </c>
      <c r="U8">
        <v>1.65E-3</v>
      </c>
      <c r="V8">
        <v>-0.18636887999999999</v>
      </c>
      <c r="W8">
        <v>1</v>
      </c>
      <c r="X8">
        <v>7.9</v>
      </c>
      <c r="Y8">
        <v>93.6</v>
      </c>
      <c r="Z8">
        <v>0</v>
      </c>
      <c r="AA8">
        <v>0</v>
      </c>
      <c r="AB8">
        <v>65</v>
      </c>
      <c r="AC8">
        <v>-1.1399999999999999</v>
      </c>
      <c r="AD8">
        <v>0.37746242000000002</v>
      </c>
      <c r="AE8">
        <v>0</v>
      </c>
      <c r="AF8">
        <v>0</v>
      </c>
      <c r="AG8">
        <v>8.2353710000000007</v>
      </c>
      <c r="AH8">
        <v>8.3145410000000002</v>
      </c>
      <c r="AI8">
        <v>4.2626799999999996</v>
      </c>
      <c r="AJ8">
        <v>2</v>
      </c>
      <c r="AK8">
        <v>15.5</v>
      </c>
    </row>
    <row r="9" spans="1:37" x14ac:dyDescent="0.3">
      <c r="A9" s="1" t="s">
        <v>40</v>
      </c>
      <c r="B9" s="1">
        <v>0</v>
      </c>
      <c r="C9" s="1">
        <v>0.11111111</v>
      </c>
      <c r="D9" s="1">
        <v>0</v>
      </c>
      <c r="E9" s="1">
        <v>1</v>
      </c>
      <c r="F9" s="1">
        <v>0</v>
      </c>
      <c r="G9" s="1">
        <f>_xlfn.IFNA(VLOOKUP($A9,[1]Sheet1!$A$32:$D$42,4,FALSE),0)</f>
        <v>0</v>
      </c>
      <c r="H9" s="1">
        <f>_xlfn.IFNA(VLOOKUP($A9,[1]Sheet1!$A$45:$D$48,4,FALSE),0)</f>
        <v>0</v>
      </c>
      <c r="I9" s="1">
        <f>_xlfn.IFNA(VLOOKUP($A9,[1]Sheet1!$A$49:$D$59,4,FALSE),0)</f>
        <v>1</v>
      </c>
      <c r="J9" s="1">
        <v>0</v>
      </c>
      <c r="K9" s="1">
        <v>0</v>
      </c>
      <c r="L9">
        <v>25</v>
      </c>
      <c r="M9">
        <v>32</v>
      </c>
      <c r="N9">
        <v>39</v>
      </c>
      <c r="O9">
        <v>10</v>
      </c>
      <c r="P9">
        <v>18</v>
      </c>
      <c r="Q9">
        <v>82</v>
      </c>
      <c r="R9">
        <v>87</v>
      </c>
      <c r="S9">
        <v>68</v>
      </c>
      <c r="T9">
        <v>74</v>
      </c>
      <c r="U9">
        <v>3.5999999999999997E-2</v>
      </c>
      <c r="V9">
        <v>-2.1349366000000001</v>
      </c>
      <c r="W9">
        <v>1</v>
      </c>
      <c r="X9">
        <v>10.199999999999999</v>
      </c>
      <c r="Y9">
        <v>95.3</v>
      </c>
      <c r="Z9">
        <v>0.9</v>
      </c>
      <c r="AA9">
        <v>0.1</v>
      </c>
      <c r="AB9">
        <v>105</v>
      </c>
      <c r="AC9">
        <v>-0.2</v>
      </c>
      <c r="AD9">
        <v>0.16516729999999999</v>
      </c>
      <c r="AE9">
        <v>0</v>
      </c>
      <c r="AF9">
        <v>0</v>
      </c>
      <c r="AG9">
        <v>9.0489300000000004</v>
      </c>
      <c r="AH9">
        <v>6.5980587000000002</v>
      </c>
      <c r="AI9">
        <v>4.2626799999999996</v>
      </c>
    </row>
    <row r="10" spans="1:37" x14ac:dyDescent="0.3">
      <c r="A10" s="1" t="s">
        <v>41</v>
      </c>
      <c r="B10" s="1">
        <v>0</v>
      </c>
      <c r="C10" s="1">
        <v>0.66666669999999995</v>
      </c>
      <c r="D10" s="1">
        <v>0</v>
      </c>
      <c r="E10" s="1">
        <v>1</v>
      </c>
      <c r="F10" s="1">
        <v>0</v>
      </c>
      <c r="G10" s="1">
        <f>_xlfn.IFNA(VLOOKUP($A10,[1]Sheet1!$A$32:$D$42,4,FALSE),0)</f>
        <v>0</v>
      </c>
      <c r="H10" s="1">
        <f>_xlfn.IFNA(VLOOKUP($A10,[1]Sheet1!$A$45:$D$48,4,FALSE),0)</f>
        <v>0</v>
      </c>
      <c r="I10" s="1">
        <f>_xlfn.IFNA(VLOOKUP($A10,[1]Sheet1!$A$49:$D$59,4,FALSE),0)</f>
        <v>0</v>
      </c>
      <c r="J10" s="1">
        <v>0</v>
      </c>
      <c r="K10" s="1">
        <v>1</v>
      </c>
      <c r="L10">
        <v>4</v>
      </c>
      <c r="M10">
        <v>12</v>
      </c>
      <c r="N10">
        <v>39</v>
      </c>
      <c r="O10">
        <v>-37</v>
      </c>
      <c r="P10">
        <v>3</v>
      </c>
      <c r="Q10">
        <v>76</v>
      </c>
      <c r="R10">
        <v>90</v>
      </c>
      <c r="S10">
        <v>40</v>
      </c>
      <c r="T10">
        <v>76</v>
      </c>
      <c r="U10">
        <v>0</v>
      </c>
      <c r="V10">
        <v>-3.830918</v>
      </c>
      <c r="W10">
        <v>1</v>
      </c>
      <c r="X10">
        <v>90</v>
      </c>
      <c r="Y10">
        <v>41.2</v>
      </c>
      <c r="Z10">
        <v>57</v>
      </c>
      <c r="AA10">
        <v>0</v>
      </c>
      <c r="AC10">
        <v>1.79</v>
      </c>
      <c r="AD10">
        <v>0.15442404000000001</v>
      </c>
      <c r="AE10">
        <v>1</v>
      </c>
      <c r="AF10">
        <v>1</v>
      </c>
      <c r="AG10">
        <v>10.464058</v>
      </c>
      <c r="AH10">
        <v>12.344676</v>
      </c>
      <c r="AI10">
        <v>2.7788192999999999</v>
      </c>
    </row>
    <row r="11" spans="1:37" x14ac:dyDescent="0.3">
      <c r="A11" s="1" t="s">
        <v>42</v>
      </c>
      <c r="B11" s="1">
        <v>0</v>
      </c>
      <c r="C11" s="1">
        <v>0.33333333999999998</v>
      </c>
      <c r="D11" s="1">
        <v>0</v>
      </c>
      <c r="E11" s="1">
        <v>1</v>
      </c>
      <c r="F11" s="1">
        <v>0</v>
      </c>
      <c r="G11" s="1">
        <f>_xlfn.IFNA(VLOOKUP($A11,[1]Sheet1!$A$32:$D$42,4,FALSE),0)</f>
        <v>0</v>
      </c>
      <c r="H11" s="1">
        <f>_xlfn.IFNA(VLOOKUP($A11,[1]Sheet1!$A$45:$D$48,4,FALSE),0)</f>
        <v>0</v>
      </c>
      <c r="I11" s="1">
        <f>_xlfn.IFNA(VLOOKUP($A11,[1]Sheet1!$A$49:$D$59,4,FALSE),0)</f>
        <v>0</v>
      </c>
      <c r="J11" s="1">
        <v>1</v>
      </c>
      <c r="K11" s="1">
        <v>0</v>
      </c>
      <c r="L11">
        <v>17</v>
      </c>
      <c r="M11">
        <v>27</v>
      </c>
      <c r="N11">
        <v>37</v>
      </c>
      <c r="O11">
        <v>-4</v>
      </c>
      <c r="P11">
        <v>6</v>
      </c>
      <c r="Q11">
        <v>70</v>
      </c>
      <c r="R11">
        <v>93</v>
      </c>
      <c r="S11">
        <v>38</v>
      </c>
      <c r="T11">
        <v>64</v>
      </c>
      <c r="U11">
        <v>0</v>
      </c>
      <c r="V11">
        <v>-0.22154227000000001</v>
      </c>
      <c r="W11">
        <v>1</v>
      </c>
      <c r="X11">
        <v>21.7</v>
      </c>
      <c r="Y11">
        <v>96</v>
      </c>
      <c r="Z11">
        <v>0.7</v>
      </c>
      <c r="AA11">
        <v>0</v>
      </c>
      <c r="AB11">
        <v>115</v>
      </c>
      <c r="AC11">
        <v>1.24</v>
      </c>
      <c r="AD11">
        <v>0.51135593999999995</v>
      </c>
      <c r="AE11">
        <v>0</v>
      </c>
      <c r="AF11">
        <v>0</v>
      </c>
      <c r="AG11">
        <v>9.4065960000000004</v>
      </c>
      <c r="AH11">
        <v>9.2618679999999998</v>
      </c>
      <c r="AI11">
        <v>4.2326560000000004</v>
      </c>
    </row>
    <row r="12" spans="1:37" x14ac:dyDescent="0.3">
      <c r="A12" s="1" t="s">
        <v>43</v>
      </c>
      <c r="B12" s="1">
        <v>1</v>
      </c>
      <c r="C12" s="1">
        <v>8.8888889999999998E-2</v>
      </c>
      <c r="D12" s="1">
        <v>0</v>
      </c>
      <c r="E12" s="1">
        <v>1</v>
      </c>
      <c r="F12" s="1">
        <v>1</v>
      </c>
      <c r="G12" s="1">
        <f>_xlfn.IFNA(VLOOKUP($A12,[1]Sheet1!$A$32:$D$42,4,FALSE),0)</f>
        <v>0</v>
      </c>
      <c r="H12" s="1">
        <f>_xlfn.IFNA(VLOOKUP($A12,[1]Sheet1!$A$45:$D$48,4,FALSE),0)</f>
        <v>0</v>
      </c>
      <c r="I12" s="1">
        <f>_xlfn.IFNA(VLOOKUP($A12,[1]Sheet1!$A$49:$D$59,4,FALSE),0)</f>
        <v>0</v>
      </c>
      <c r="J12" s="1">
        <v>0</v>
      </c>
      <c r="K12" s="1">
        <v>0</v>
      </c>
      <c r="L12">
        <v>26</v>
      </c>
      <c r="M12">
        <v>31</v>
      </c>
      <c r="N12">
        <v>36</v>
      </c>
      <c r="O12">
        <v>15</v>
      </c>
      <c r="P12">
        <v>20</v>
      </c>
      <c r="Q12">
        <v>93</v>
      </c>
      <c r="R12">
        <v>96</v>
      </c>
      <c r="S12">
        <v>71</v>
      </c>
      <c r="T12">
        <v>82</v>
      </c>
      <c r="U12">
        <v>0.95</v>
      </c>
      <c r="V12">
        <v>1.442202</v>
      </c>
      <c r="W12">
        <v>0</v>
      </c>
      <c r="X12">
        <v>0.6</v>
      </c>
      <c r="Y12">
        <v>0.1</v>
      </c>
      <c r="Z12">
        <v>0</v>
      </c>
      <c r="AA12">
        <v>5</v>
      </c>
      <c r="AB12">
        <v>36</v>
      </c>
      <c r="AC12">
        <v>-1.24</v>
      </c>
      <c r="AD12">
        <v>0</v>
      </c>
      <c r="AE12">
        <v>0</v>
      </c>
      <c r="AF12">
        <v>0</v>
      </c>
      <c r="AG12">
        <v>7.4181866999999997</v>
      </c>
      <c r="AH12">
        <v>3.7306537999999998</v>
      </c>
      <c r="AI12">
        <v>5.5214610000000004</v>
      </c>
    </row>
    <row r="13" spans="1:37" x14ac:dyDescent="0.3">
      <c r="A13" s="1" t="s">
        <v>44</v>
      </c>
      <c r="B13" s="1">
        <v>1</v>
      </c>
      <c r="C13" s="1">
        <v>6.6666669999999997E-2</v>
      </c>
      <c r="D13" s="1">
        <v>0</v>
      </c>
      <c r="E13" s="1">
        <v>1</v>
      </c>
      <c r="F13" s="1">
        <v>0</v>
      </c>
      <c r="G13" s="1">
        <f>_xlfn.IFNA(VLOOKUP($A13,[1]Sheet1!$A$32:$D$42,4,FALSE),0)</f>
        <v>1</v>
      </c>
      <c r="H13" s="1">
        <f>_xlfn.IFNA(VLOOKUP($A13,[1]Sheet1!$A$45:$D$48,4,FALSE),0)</f>
        <v>0</v>
      </c>
      <c r="I13" s="1">
        <f>_xlfn.IFNA(VLOOKUP($A13,[1]Sheet1!$A$49:$D$59,4,FALSE),0)</f>
        <v>0</v>
      </c>
      <c r="J13" s="1">
        <v>0</v>
      </c>
      <c r="K13" s="1">
        <v>0</v>
      </c>
      <c r="L13">
        <v>25</v>
      </c>
      <c r="M13">
        <v>31</v>
      </c>
      <c r="N13">
        <v>36</v>
      </c>
      <c r="O13">
        <v>14</v>
      </c>
      <c r="P13">
        <v>17</v>
      </c>
      <c r="Q13">
        <v>97</v>
      </c>
      <c r="R13">
        <v>98</v>
      </c>
      <c r="S13">
        <v>62</v>
      </c>
      <c r="T13">
        <v>75</v>
      </c>
      <c r="U13">
        <v>0.95</v>
      </c>
      <c r="V13">
        <v>0.40546510000000002</v>
      </c>
      <c r="W13">
        <v>0</v>
      </c>
      <c r="X13">
        <v>0.8</v>
      </c>
      <c r="Y13">
        <v>0.1</v>
      </c>
      <c r="Z13">
        <v>0.2</v>
      </c>
      <c r="AA13">
        <v>5</v>
      </c>
      <c r="AB13">
        <v>102</v>
      </c>
      <c r="AC13">
        <v>-1.1100000000000001</v>
      </c>
      <c r="AD13">
        <v>0.49268293000000002</v>
      </c>
      <c r="AE13">
        <v>0</v>
      </c>
      <c r="AF13">
        <v>0</v>
      </c>
      <c r="AG13">
        <v>7.5937460000000003</v>
      </c>
      <c r="AH13">
        <v>5.4068712999999997</v>
      </c>
      <c r="AI13">
        <v>5.5214610000000004</v>
      </c>
    </row>
    <row r="14" spans="1:37" x14ac:dyDescent="0.3">
      <c r="A14" s="1" t="s">
        <v>45</v>
      </c>
      <c r="B14" s="1">
        <v>1</v>
      </c>
      <c r="C14" s="1">
        <v>1.1111111E-2</v>
      </c>
      <c r="D14" s="1">
        <v>0</v>
      </c>
      <c r="E14" s="1">
        <v>1</v>
      </c>
      <c r="F14" s="1">
        <v>1</v>
      </c>
      <c r="G14" s="1">
        <f>_xlfn.IFNA(VLOOKUP($A14,[1]Sheet1!$A$32:$D$42,4,FALSE),0)</f>
        <v>0</v>
      </c>
      <c r="H14" s="1">
        <f>_xlfn.IFNA(VLOOKUP($A14,[1]Sheet1!$A$45:$D$48,4,FALSE),0)</f>
        <v>0</v>
      </c>
      <c r="I14" s="1">
        <f>_xlfn.IFNA(VLOOKUP($A14,[1]Sheet1!$A$49:$D$59,4,FALSE),0)</f>
        <v>0</v>
      </c>
      <c r="J14" s="1">
        <v>0</v>
      </c>
      <c r="K14" s="1">
        <v>0</v>
      </c>
      <c r="L14">
        <v>25</v>
      </c>
      <c r="M14">
        <v>32</v>
      </c>
      <c r="N14">
        <v>37</v>
      </c>
      <c r="O14">
        <v>12</v>
      </c>
      <c r="P14">
        <v>19</v>
      </c>
      <c r="Q14">
        <v>77</v>
      </c>
      <c r="R14">
        <v>89</v>
      </c>
      <c r="S14">
        <v>54</v>
      </c>
      <c r="T14">
        <v>71</v>
      </c>
      <c r="U14">
        <v>0.95</v>
      </c>
      <c r="V14">
        <v>0.40546510000000002</v>
      </c>
      <c r="W14">
        <v>0</v>
      </c>
      <c r="X14">
        <v>0.6</v>
      </c>
      <c r="Y14">
        <v>2.5</v>
      </c>
      <c r="Z14">
        <v>0</v>
      </c>
      <c r="AA14">
        <v>0</v>
      </c>
      <c r="AB14">
        <v>51</v>
      </c>
      <c r="AC14">
        <v>-1.1499999999999999</v>
      </c>
      <c r="AD14">
        <v>1.4110123999999999</v>
      </c>
      <c r="AE14">
        <v>0</v>
      </c>
      <c r="AF14">
        <v>0</v>
      </c>
      <c r="AG14">
        <v>8.1259820000000005</v>
      </c>
      <c r="AH14">
        <v>5.9675026000000004</v>
      </c>
      <c r="AI14">
        <v>5.480639</v>
      </c>
      <c r="AJ14">
        <v>0.1</v>
      </c>
      <c r="AK14">
        <v>2.4</v>
      </c>
    </row>
    <row r="15" spans="1:37" x14ac:dyDescent="0.3">
      <c r="A15" s="1" t="s">
        <v>46</v>
      </c>
      <c r="B15" s="1">
        <v>0</v>
      </c>
      <c r="C15" s="1">
        <v>4.4444445999999999E-2</v>
      </c>
      <c r="D15" s="1">
        <v>0</v>
      </c>
      <c r="E15" s="1">
        <v>1</v>
      </c>
      <c r="F15" s="1">
        <v>0</v>
      </c>
      <c r="G15" s="1">
        <f>_xlfn.IFNA(VLOOKUP($A15,[1]Sheet1!$A$32:$D$42,4,FALSE),0)</f>
        <v>0</v>
      </c>
      <c r="H15" s="1">
        <f>_xlfn.IFNA(VLOOKUP($A15,[1]Sheet1!$A$45:$D$48,4,FALSE),0)</f>
        <v>0</v>
      </c>
      <c r="I15" s="1">
        <f>_xlfn.IFNA(VLOOKUP($A15,[1]Sheet1!$A$49:$D$59,4,FALSE),0)</f>
        <v>0</v>
      </c>
      <c r="J15" s="1">
        <v>1</v>
      </c>
      <c r="K15" s="1">
        <v>0</v>
      </c>
      <c r="L15">
        <v>14</v>
      </c>
      <c r="M15">
        <v>22</v>
      </c>
      <c r="N15">
        <v>24</v>
      </c>
      <c r="O15">
        <v>4</v>
      </c>
      <c r="P15">
        <v>7</v>
      </c>
      <c r="Q15">
        <v>82</v>
      </c>
      <c r="R15">
        <v>88</v>
      </c>
      <c r="S15">
        <v>51</v>
      </c>
      <c r="T15">
        <v>64</v>
      </c>
      <c r="U15">
        <v>0.14637000999999999</v>
      </c>
      <c r="V15">
        <v>-3.7969910000000003E-2</v>
      </c>
      <c r="W15">
        <v>1</v>
      </c>
      <c r="X15">
        <v>15.8</v>
      </c>
      <c r="Y15">
        <v>79.8</v>
      </c>
      <c r="Z15">
        <v>0</v>
      </c>
      <c r="AA15">
        <v>0</v>
      </c>
      <c r="AB15">
        <v>104</v>
      </c>
      <c r="AC15">
        <v>-0.41</v>
      </c>
      <c r="AD15">
        <v>5.0948924999999999E-2</v>
      </c>
      <c r="AE15">
        <v>0</v>
      </c>
      <c r="AF15">
        <v>0</v>
      </c>
      <c r="AG15">
        <v>8.8962540000000008</v>
      </c>
      <c r="AH15">
        <v>6.694833</v>
      </c>
      <c r="AI15">
        <v>4.2626799999999996</v>
      </c>
    </row>
    <row r="16" spans="1:37" x14ac:dyDescent="0.3">
      <c r="A16" s="1" t="s">
        <v>47</v>
      </c>
      <c r="B16" s="1">
        <v>0</v>
      </c>
      <c r="C16" s="1">
        <v>0.11111111</v>
      </c>
      <c r="D16" s="1">
        <v>0</v>
      </c>
      <c r="E16" s="1">
        <v>1</v>
      </c>
      <c r="F16" s="1">
        <v>0</v>
      </c>
      <c r="G16" s="1">
        <f>_xlfn.IFNA(VLOOKUP($A16,[1]Sheet1!$A$32:$D$42,4,FALSE),0)</f>
        <v>0</v>
      </c>
      <c r="H16" s="1">
        <f>_xlfn.IFNA(VLOOKUP($A16,[1]Sheet1!$A$45:$D$48,4,FALSE),0)</f>
        <v>0</v>
      </c>
      <c r="I16" s="1">
        <f>_xlfn.IFNA(VLOOKUP($A16,[1]Sheet1!$A$49:$D$59,4,FALSE),0)</f>
        <v>0</v>
      </c>
      <c r="J16" s="1">
        <v>1</v>
      </c>
      <c r="K16" s="1">
        <v>0</v>
      </c>
      <c r="L16">
        <v>21</v>
      </c>
      <c r="M16">
        <v>29</v>
      </c>
      <c r="N16">
        <v>33</v>
      </c>
      <c r="O16">
        <v>9</v>
      </c>
      <c r="P16">
        <v>14</v>
      </c>
      <c r="Q16">
        <v>80</v>
      </c>
      <c r="R16">
        <v>92</v>
      </c>
      <c r="S16">
        <v>55</v>
      </c>
      <c r="T16">
        <v>78</v>
      </c>
      <c r="U16">
        <v>0</v>
      </c>
      <c r="V16">
        <v>0.43178240000000001</v>
      </c>
      <c r="W16">
        <v>1</v>
      </c>
      <c r="X16">
        <v>25</v>
      </c>
      <c r="Y16">
        <v>98.5</v>
      </c>
      <c r="Z16">
        <v>1</v>
      </c>
      <c r="AA16">
        <v>0</v>
      </c>
      <c r="AB16">
        <v>66</v>
      </c>
      <c r="AC16">
        <v>0.54</v>
      </c>
      <c r="AD16">
        <v>0.44138149999999998</v>
      </c>
      <c r="AE16">
        <v>0</v>
      </c>
      <c r="AF16">
        <v>0</v>
      </c>
      <c r="AG16">
        <v>9.1095849999999992</v>
      </c>
      <c r="AH16">
        <v>7.8920655000000002</v>
      </c>
      <c r="AI16">
        <v>4.3579903</v>
      </c>
      <c r="AJ16">
        <v>25</v>
      </c>
      <c r="AK16">
        <v>43.5</v>
      </c>
    </row>
    <row r="17" spans="1:37" x14ac:dyDescent="0.3">
      <c r="A17" s="1" t="s">
        <v>48</v>
      </c>
      <c r="B17" s="1">
        <v>0</v>
      </c>
      <c r="C17" s="1">
        <v>0.21111110999999999</v>
      </c>
      <c r="D17" s="1">
        <v>0</v>
      </c>
      <c r="E17" s="1">
        <v>1</v>
      </c>
      <c r="F17" s="1">
        <v>0</v>
      </c>
      <c r="G17" s="1">
        <f>_xlfn.IFNA(VLOOKUP($A17,[1]Sheet1!$A$32:$D$42,4,FALSE),0)</f>
        <v>0</v>
      </c>
      <c r="H17" s="1">
        <f>_xlfn.IFNA(VLOOKUP($A17,[1]Sheet1!$A$45:$D$48,4,FALSE),0)</f>
        <v>0</v>
      </c>
      <c r="I17" s="1">
        <f>_xlfn.IFNA(VLOOKUP($A17,[1]Sheet1!$A$49:$D$59,4,FALSE),0)</f>
        <v>0</v>
      </c>
      <c r="J17" s="1">
        <v>1</v>
      </c>
      <c r="K17" s="1">
        <v>0</v>
      </c>
      <c r="L17">
        <v>26</v>
      </c>
      <c r="M17">
        <v>33</v>
      </c>
      <c r="N17">
        <v>37</v>
      </c>
      <c r="O17">
        <v>15</v>
      </c>
      <c r="P17">
        <v>20</v>
      </c>
      <c r="Q17">
        <v>88</v>
      </c>
      <c r="R17">
        <v>92</v>
      </c>
      <c r="S17">
        <v>58</v>
      </c>
      <c r="T17">
        <v>66</v>
      </c>
      <c r="U17">
        <v>0</v>
      </c>
      <c r="V17">
        <v>0.37843648000000002</v>
      </c>
      <c r="W17">
        <v>1</v>
      </c>
      <c r="X17">
        <v>9.6</v>
      </c>
      <c r="Y17">
        <v>97.8</v>
      </c>
      <c r="Z17">
        <v>0.2</v>
      </c>
      <c r="AA17">
        <v>0</v>
      </c>
      <c r="AB17">
        <v>71</v>
      </c>
      <c r="AC17">
        <v>-0.77</v>
      </c>
      <c r="AD17">
        <v>0.45687287999999998</v>
      </c>
      <c r="AE17">
        <v>0</v>
      </c>
      <c r="AF17">
        <v>0</v>
      </c>
      <c r="AG17">
        <v>8.7609820000000003</v>
      </c>
      <c r="AH17">
        <v>6.4740232999999998</v>
      </c>
      <c r="AI17">
        <v>4.8675345999999999</v>
      </c>
      <c r="AJ17">
        <v>4.7</v>
      </c>
      <c r="AK17">
        <v>25.3</v>
      </c>
    </row>
    <row r="18" spans="1:37" x14ac:dyDescent="0.3">
      <c r="A18" s="1" t="s">
        <v>49</v>
      </c>
      <c r="B18" s="1">
        <v>1</v>
      </c>
      <c r="C18" s="1">
        <v>0.31111112000000002</v>
      </c>
      <c r="D18" s="1">
        <v>0</v>
      </c>
      <c r="E18" s="1">
        <v>1</v>
      </c>
      <c r="F18" s="1">
        <v>1</v>
      </c>
      <c r="G18" s="1">
        <f>_xlfn.IFNA(VLOOKUP($A18,[1]Sheet1!$A$32:$D$42,4,FALSE),0)</f>
        <v>0</v>
      </c>
      <c r="H18" s="1">
        <f>_xlfn.IFNA(VLOOKUP($A18,[1]Sheet1!$A$45:$D$48,4,FALSE),0)</f>
        <v>0</v>
      </c>
      <c r="I18" s="1">
        <f>_xlfn.IFNA(VLOOKUP($A18,[1]Sheet1!$A$49:$D$59,4,FALSE),0)</f>
        <v>0</v>
      </c>
      <c r="J18" s="1">
        <v>0</v>
      </c>
      <c r="K18" s="1">
        <v>0</v>
      </c>
      <c r="L18">
        <v>21</v>
      </c>
      <c r="M18">
        <v>24</v>
      </c>
      <c r="N18">
        <v>42</v>
      </c>
      <c r="O18">
        <v>0</v>
      </c>
      <c r="P18">
        <v>1</v>
      </c>
      <c r="Q18">
        <v>67</v>
      </c>
      <c r="R18">
        <v>75</v>
      </c>
      <c r="S18">
        <v>57</v>
      </c>
      <c r="T18">
        <v>66</v>
      </c>
      <c r="U18">
        <v>0</v>
      </c>
      <c r="V18">
        <v>1.9455794</v>
      </c>
      <c r="W18">
        <v>0</v>
      </c>
      <c r="X18">
        <v>9.9</v>
      </c>
      <c r="Y18">
        <v>11.9</v>
      </c>
      <c r="Z18">
        <v>0.3</v>
      </c>
      <c r="AA18">
        <v>86.6</v>
      </c>
      <c r="AB18">
        <v>79</v>
      </c>
      <c r="AC18">
        <v>-0.77</v>
      </c>
      <c r="AD18">
        <v>0.17199999999999999</v>
      </c>
      <c r="AE18">
        <v>0</v>
      </c>
      <c r="AF18">
        <v>0</v>
      </c>
      <c r="AG18">
        <v>8.8774604999999998</v>
      </c>
      <c r="AH18">
        <v>6.0927195999999997</v>
      </c>
      <c r="AI18">
        <v>4.3592696000000002</v>
      </c>
      <c r="AJ18">
        <v>6.2</v>
      </c>
      <c r="AK18">
        <v>13.2</v>
      </c>
    </row>
    <row r="19" spans="1:37" x14ac:dyDescent="0.3">
      <c r="A19" s="1" t="s">
        <v>50</v>
      </c>
      <c r="B19" s="1">
        <v>0</v>
      </c>
      <c r="C19" s="1">
        <v>2.2222222999999999E-2</v>
      </c>
      <c r="D19" s="1">
        <v>0</v>
      </c>
      <c r="E19" s="1">
        <v>1</v>
      </c>
      <c r="F19" s="1">
        <v>0</v>
      </c>
      <c r="G19" s="1">
        <f>_xlfn.IFNA(VLOOKUP($A19,[1]Sheet1!$A$32:$D$42,4,FALSE),0)</f>
        <v>0</v>
      </c>
      <c r="H19" s="1">
        <f>_xlfn.IFNA(VLOOKUP($A19,[1]Sheet1!$A$45:$D$48,4,FALSE),0)</f>
        <v>0</v>
      </c>
      <c r="I19" s="1">
        <f>_xlfn.IFNA(VLOOKUP($A19,[1]Sheet1!$A$49:$D$59,4,FALSE),0)</f>
        <v>0</v>
      </c>
      <c r="J19" s="1">
        <v>1</v>
      </c>
      <c r="K19" s="1">
        <v>0</v>
      </c>
      <c r="L19">
        <v>15</v>
      </c>
      <c r="M19">
        <v>26</v>
      </c>
      <c r="N19">
        <v>30</v>
      </c>
      <c r="O19">
        <v>0</v>
      </c>
      <c r="P19">
        <v>4</v>
      </c>
      <c r="Q19">
        <v>80</v>
      </c>
      <c r="R19">
        <v>94</v>
      </c>
      <c r="S19">
        <v>40</v>
      </c>
      <c r="T19">
        <v>60</v>
      </c>
      <c r="U19">
        <v>0.118949994</v>
      </c>
      <c r="V19">
        <v>0.77348994999999998</v>
      </c>
      <c r="W19">
        <v>1</v>
      </c>
      <c r="X19">
        <v>21.5</v>
      </c>
      <c r="Y19">
        <v>87.7</v>
      </c>
      <c r="Z19">
        <v>0</v>
      </c>
      <c r="AA19">
        <v>0</v>
      </c>
      <c r="AB19">
        <v>64</v>
      </c>
      <c r="AC19">
        <v>-1.22</v>
      </c>
      <c r="AD19">
        <v>0.25600000000000001</v>
      </c>
      <c r="AE19">
        <v>0</v>
      </c>
      <c r="AF19">
        <v>0</v>
      </c>
      <c r="AG19">
        <v>8.7811559999999993</v>
      </c>
      <c r="AH19">
        <v>7.2589880000000004</v>
      </c>
      <c r="AI19">
        <v>4.2626799999999996</v>
      </c>
      <c r="AJ19">
        <v>9.6</v>
      </c>
      <c r="AK19">
        <v>36.299999999999997</v>
      </c>
    </row>
    <row r="20" spans="1:37" x14ac:dyDescent="0.3">
      <c r="A20" s="1" t="s">
        <v>51</v>
      </c>
      <c r="B20" s="1">
        <v>1</v>
      </c>
      <c r="C20" s="1">
        <v>0.3</v>
      </c>
      <c r="D20" s="1">
        <v>0</v>
      </c>
      <c r="E20" s="1">
        <v>1</v>
      </c>
      <c r="F20" s="1">
        <v>0</v>
      </c>
      <c r="G20" s="1">
        <f>_xlfn.IFNA(VLOOKUP($A20,[1]Sheet1!$A$32:$D$42,4,FALSE),0)</f>
        <v>0</v>
      </c>
      <c r="H20" s="1">
        <f>_xlfn.IFNA(VLOOKUP($A20,[1]Sheet1!$A$45:$D$48,4,FALSE),0)</f>
        <v>0</v>
      </c>
      <c r="I20" s="1">
        <f>_xlfn.IFNA(VLOOKUP($A20,[1]Sheet1!$A$49:$D$59,4,FALSE),0)</f>
        <v>0</v>
      </c>
      <c r="J20" s="1">
        <v>0</v>
      </c>
      <c r="K20" s="1">
        <v>1</v>
      </c>
      <c r="L20">
        <v>24</v>
      </c>
      <c r="M20">
        <v>31</v>
      </c>
      <c r="N20">
        <v>47</v>
      </c>
      <c r="O20">
        <v>1</v>
      </c>
      <c r="P20">
        <v>17</v>
      </c>
      <c r="Q20">
        <v>50</v>
      </c>
      <c r="R20">
        <v>70</v>
      </c>
      <c r="S20">
        <v>18</v>
      </c>
      <c r="T20">
        <v>41</v>
      </c>
      <c r="U20">
        <v>0</v>
      </c>
      <c r="V20">
        <v>4.6097307000000001</v>
      </c>
      <c r="W20">
        <v>0</v>
      </c>
      <c r="X20">
        <v>7.6</v>
      </c>
      <c r="Y20">
        <v>0.6</v>
      </c>
      <c r="Z20">
        <v>0.3</v>
      </c>
      <c r="AA20">
        <v>81.099999999999994</v>
      </c>
      <c r="AB20">
        <v>106</v>
      </c>
      <c r="AC20">
        <v>-0.06</v>
      </c>
      <c r="AD20">
        <v>0.29723349999999998</v>
      </c>
      <c r="AE20">
        <v>0</v>
      </c>
      <c r="AF20">
        <v>0</v>
      </c>
      <c r="AG20">
        <v>8.4097460000000002</v>
      </c>
      <c r="AH20">
        <v>5.4928974999999998</v>
      </c>
      <c r="AI20">
        <v>4.2165622999999997</v>
      </c>
    </row>
    <row r="21" spans="1:37" x14ac:dyDescent="0.3">
      <c r="A21" s="1" t="s">
        <v>52</v>
      </c>
      <c r="B21" s="1">
        <v>1</v>
      </c>
      <c r="C21" s="1">
        <v>8.8888889999999998E-2</v>
      </c>
      <c r="D21" s="1">
        <v>0</v>
      </c>
      <c r="E21" s="1">
        <v>1</v>
      </c>
      <c r="F21" s="1">
        <v>0</v>
      </c>
      <c r="G21" s="1">
        <f>_xlfn.IFNA(VLOOKUP($A21,[1]Sheet1!$A$32:$D$42,4,FALSE),0)</f>
        <v>0</v>
      </c>
      <c r="H21" s="1">
        <f>_xlfn.IFNA(VLOOKUP($A21,[1]Sheet1!$A$45:$D$48,4,FALSE),0)</f>
        <v>0</v>
      </c>
      <c r="I21" s="1">
        <f>_xlfn.IFNA(VLOOKUP($A21,[1]Sheet1!$A$49:$D$59,4,FALSE),0)</f>
        <v>0</v>
      </c>
      <c r="J21" s="1">
        <v>0</v>
      </c>
      <c r="K21" s="1">
        <v>0</v>
      </c>
      <c r="L21">
        <v>17</v>
      </c>
      <c r="M21">
        <v>27</v>
      </c>
      <c r="N21">
        <v>34</v>
      </c>
      <c r="O21">
        <v>0</v>
      </c>
      <c r="P21">
        <v>7</v>
      </c>
      <c r="Q21">
        <v>56</v>
      </c>
      <c r="R21">
        <v>86</v>
      </c>
      <c r="S21">
        <v>33</v>
      </c>
      <c r="T21">
        <v>73</v>
      </c>
      <c r="U21">
        <v>0.55100000000000005</v>
      </c>
      <c r="V21">
        <v>1.8971199999999999</v>
      </c>
      <c r="W21">
        <v>0</v>
      </c>
      <c r="X21">
        <v>3</v>
      </c>
      <c r="Y21">
        <v>0.5</v>
      </c>
      <c r="Z21">
        <v>26</v>
      </c>
      <c r="AA21">
        <v>0</v>
      </c>
      <c r="AB21">
        <v>56</v>
      </c>
      <c r="AC21">
        <v>-0.78</v>
      </c>
      <c r="AD21">
        <v>3.3999997999999997E-2</v>
      </c>
      <c r="AE21">
        <v>0</v>
      </c>
      <c r="AF21">
        <v>0</v>
      </c>
      <c r="AG21">
        <v>6.4553064999999998</v>
      </c>
      <c r="AH21">
        <v>1.6080000000000001</v>
      </c>
      <c r="AI21">
        <v>3.2580965000000002</v>
      </c>
      <c r="AJ21">
        <v>0.1</v>
      </c>
      <c r="AK21">
        <v>3.7</v>
      </c>
    </row>
    <row r="22" spans="1:37" x14ac:dyDescent="0.3">
      <c r="A22" s="1" t="s">
        <v>53</v>
      </c>
      <c r="B22" s="1">
        <v>1</v>
      </c>
      <c r="C22" s="1">
        <v>1.1111111E-2</v>
      </c>
      <c r="D22" s="1">
        <v>0</v>
      </c>
      <c r="E22" s="1">
        <v>1</v>
      </c>
      <c r="F22" s="1">
        <v>1</v>
      </c>
      <c r="G22" s="1">
        <f>_xlfn.IFNA(VLOOKUP($A22,[1]Sheet1!$A$32:$D$42,4,FALSE),0)</f>
        <v>0</v>
      </c>
      <c r="H22" s="1">
        <f>_xlfn.IFNA(VLOOKUP($A22,[1]Sheet1!$A$45:$D$48,4,FALSE),0)</f>
        <v>0</v>
      </c>
      <c r="I22" s="1">
        <f>_xlfn.IFNA(VLOOKUP($A22,[1]Sheet1!$A$49:$D$59,4,FALSE),0)</f>
        <v>0</v>
      </c>
      <c r="J22" s="1">
        <v>0</v>
      </c>
      <c r="K22" s="1">
        <v>0</v>
      </c>
      <c r="L22">
        <v>27</v>
      </c>
      <c r="M22">
        <v>33</v>
      </c>
      <c r="N22">
        <v>37</v>
      </c>
      <c r="O22">
        <v>17</v>
      </c>
      <c r="P22">
        <v>19</v>
      </c>
      <c r="Q22">
        <v>85</v>
      </c>
      <c r="R22">
        <v>95</v>
      </c>
      <c r="S22">
        <v>69</v>
      </c>
      <c r="T22">
        <v>79</v>
      </c>
      <c r="U22">
        <v>0.9405</v>
      </c>
      <c r="V22">
        <v>0.40546510000000002</v>
      </c>
      <c r="W22">
        <v>0</v>
      </c>
      <c r="X22">
        <v>0.6</v>
      </c>
      <c r="Y22">
        <v>5.4</v>
      </c>
      <c r="Z22">
        <v>1.1000000000000001</v>
      </c>
      <c r="AA22">
        <v>0</v>
      </c>
      <c r="AB22">
        <v>118</v>
      </c>
      <c r="AC22">
        <v>-0.55000000000000004</v>
      </c>
      <c r="AD22">
        <v>0.79737020000000003</v>
      </c>
      <c r="AE22">
        <v>0</v>
      </c>
      <c r="AF22">
        <v>0</v>
      </c>
      <c r="AG22">
        <v>9.4738019999999992</v>
      </c>
      <c r="AH22">
        <v>6.7992163000000003</v>
      </c>
      <c r="AI22">
        <v>5.5214610000000004</v>
      </c>
    </row>
    <row r="23" spans="1:37" x14ac:dyDescent="0.3">
      <c r="A23" s="1" t="s">
        <v>54</v>
      </c>
      <c r="B23" s="1">
        <v>1</v>
      </c>
      <c r="C23" s="1">
        <v>8.8888889999999998E-2</v>
      </c>
      <c r="D23" s="1">
        <v>0</v>
      </c>
      <c r="E23" s="1">
        <v>1</v>
      </c>
      <c r="F23" s="1">
        <v>0</v>
      </c>
      <c r="G23" s="1">
        <f>_xlfn.IFNA(VLOOKUP($A23,[1]Sheet1!$A$32:$D$42,4,FALSE),0)</f>
        <v>0</v>
      </c>
      <c r="H23" s="1">
        <f>_xlfn.IFNA(VLOOKUP($A23,[1]Sheet1!$A$45:$D$48,4,FALSE),0)</f>
        <v>0</v>
      </c>
      <c r="I23" s="1">
        <v>0</v>
      </c>
      <c r="J23" s="1">
        <v>0</v>
      </c>
      <c r="K23" s="1">
        <v>1</v>
      </c>
      <c r="L23">
        <v>27</v>
      </c>
      <c r="M23">
        <v>32</v>
      </c>
      <c r="N23">
        <v>38</v>
      </c>
      <c r="O23">
        <v>15</v>
      </c>
      <c r="P23">
        <v>21</v>
      </c>
      <c r="Q23">
        <v>95</v>
      </c>
      <c r="R23">
        <v>97</v>
      </c>
      <c r="S23">
        <v>61</v>
      </c>
      <c r="T23">
        <v>77</v>
      </c>
      <c r="U23">
        <v>0.95</v>
      </c>
      <c r="V23">
        <v>1.442202</v>
      </c>
      <c r="W23">
        <v>0</v>
      </c>
      <c r="X23">
        <v>3.3</v>
      </c>
      <c r="Y23">
        <v>0.4</v>
      </c>
      <c r="Z23">
        <v>4.2</v>
      </c>
      <c r="AA23">
        <v>5</v>
      </c>
      <c r="AB23">
        <v>168</v>
      </c>
      <c r="AC23">
        <v>-0.09</v>
      </c>
      <c r="AD23">
        <v>0.25151037999999998</v>
      </c>
      <c r="AE23">
        <v>0</v>
      </c>
      <c r="AF23">
        <v>0</v>
      </c>
      <c r="AG23">
        <v>7.0967330000000004</v>
      </c>
      <c r="AH23">
        <v>6.5347586</v>
      </c>
      <c r="AI23">
        <v>5.5214610000000004</v>
      </c>
    </row>
    <row r="24" spans="1:37" x14ac:dyDescent="0.3">
      <c r="A24" s="1" t="s">
        <v>55</v>
      </c>
      <c r="B24" s="1">
        <v>1</v>
      </c>
      <c r="C24" s="1">
        <v>0.12222222000000001</v>
      </c>
      <c r="D24" s="1">
        <v>0</v>
      </c>
      <c r="E24" s="1">
        <v>1</v>
      </c>
      <c r="F24" s="1">
        <v>1</v>
      </c>
      <c r="G24" s="1">
        <f>_xlfn.IFNA(VLOOKUP($A24,[1]Sheet1!$A$32:$D$42,4,FALSE),0)</f>
        <v>0</v>
      </c>
      <c r="H24" s="1">
        <f>_xlfn.IFNA(VLOOKUP($A24,[1]Sheet1!$A$45:$D$48,4,FALSE),0)</f>
        <v>0</v>
      </c>
      <c r="I24" s="1">
        <f>_xlfn.IFNA(VLOOKUP($A24,[1]Sheet1!$A$49:$D$59,4,FALSE),0)</f>
        <v>0</v>
      </c>
      <c r="J24" s="1">
        <v>0</v>
      </c>
      <c r="K24" s="1">
        <v>0</v>
      </c>
      <c r="L24">
        <v>27</v>
      </c>
      <c r="M24">
        <v>31</v>
      </c>
      <c r="N24">
        <v>36</v>
      </c>
      <c r="O24">
        <v>17</v>
      </c>
      <c r="P24">
        <v>21</v>
      </c>
      <c r="Q24">
        <v>83</v>
      </c>
      <c r="R24">
        <v>94</v>
      </c>
      <c r="S24">
        <v>63</v>
      </c>
      <c r="T24">
        <v>87</v>
      </c>
      <c r="U24">
        <v>0.95</v>
      </c>
      <c r="V24">
        <v>1.442202</v>
      </c>
      <c r="W24">
        <v>0</v>
      </c>
      <c r="X24">
        <v>0.6</v>
      </c>
      <c r="Y24">
        <v>0.2</v>
      </c>
      <c r="Z24">
        <v>0</v>
      </c>
      <c r="AA24">
        <v>58</v>
      </c>
      <c r="AB24">
        <v>42</v>
      </c>
      <c r="AC24">
        <v>-1.54</v>
      </c>
      <c r="AD24">
        <v>0.10857115000000001</v>
      </c>
      <c r="AE24">
        <v>0</v>
      </c>
      <c r="AF24">
        <v>0</v>
      </c>
      <c r="AG24">
        <v>6.8782063000000004</v>
      </c>
      <c r="AI24">
        <v>5.5214610000000004</v>
      </c>
    </row>
    <row r="25" spans="1:37" x14ac:dyDescent="0.3">
      <c r="A25" s="1" t="s">
        <v>56</v>
      </c>
      <c r="B25" s="1">
        <v>1</v>
      </c>
      <c r="C25" s="1">
        <v>0.14755556</v>
      </c>
      <c r="D25" s="1">
        <v>0</v>
      </c>
      <c r="E25" s="1">
        <v>1</v>
      </c>
      <c r="F25" s="1">
        <v>0</v>
      </c>
      <c r="G25" s="1">
        <f>_xlfn.IFNA(VLOOKUP($A25,[1]Sheet1!$A$32:$D$42,4,FALSE),0)</f>
        <v>0</v>
      </c>
      <c r="H25" s="1">
        <f>_xlfn.IFNA(VLOOKUP($A25,[1]Sheet1!$A$45:$D$48,4,FALSE),0)</f>
        <v>0</v>
      </c>
      <c r="I25" s="1">
        <f>_xlfn.IFNA(VLOOKUP($A25,[1]Sheet1!$A$49:$D$59,4,FALSE),0)</f>
        <v>0</v>
      </c>
      <c r="J25" s="1">
        <v>0</v>
      </c>
      <c r="K25" s="1">
        <v>1</v>
      </c>
      <c r="L25">
        <v>24</v>
      </c>
      <c r="M25">
        <v>33</v>
      </c>
      <c r="N25">
        <v>41</v>
      </c>
      <c r="O25">
        <v>7</v>
      </c>
      <c r="P25">
        <v>21</v>
      </c>
      <c r="Q25">
        <v>66</v>
      </c>
      <c r="R25">
        <v>95</v>
      </c>
      <c r="S25">
        <v>26</v>
      </c>
      <c r="T25">
        <v>78</v>
      </c>
      <c r="U25">
        <v>0.95</v>
      </c>
      <c r="V25">
        <v>1.442202</v>
      </c>
      <c r="W25">
        <v>0</v>
      </c>
      <c r="X25">
        <v>9.4</v>
      </c>
      <c r="Y25">
        <v>2.1</v>
      </c>
      <c r="Z25">
        <v>2</v>
      </c>
      <c r="AA25">
        <v>81</v>
      </c>
      <c r="AB25">
        <v>139</v>
      </c>
      <c r="AC25">
        <v>-0.45</v>
      </c>
      <c r="AD25">
        <v>0.15</v>
      </c>
      <c r="AE25">
        <v>0</v>
      </c>
      <c r="AF25">
        <v>0</v>
      </c>
      <c r="AG25">
        <v>7.0551677000000002</v>
      </c>
      <c r="AH25">
        <v>2.3496766</v>
      </c>
      <c r="AI25">
        <v>5.5214610000000004</v>
      </c>
    </row>
    <row r="26" spans="1:37" x14ac:dyDescent="0.3">
      <c r="A26" s="1" t="s">
        <v>57</v>
      </c>
      <c r="B26" s="1">
        <v>0</v>
      </c>
      <c r="C26" s="1">
        <v>0.17</v>
      </c>
      <c r="D26" s="1">
        <v>0</v>
      </c>
      <c r="E26" s="1">
        <v>1</v>
      </c>
      <c r="F26" s="1">
        <v>0</v>
      </c>
      <c r="G26" s="1">
        <f>_xlfn.IFNA(VLOOKUP($A26,[1]Sheet1!$A$32:$D$42,4,FALSE),0)</f>
        <v>0</v>
      </c>
      <c r="H26" s="1">
        <f>_xlfn.IFNA(VLOOKUP($A26,[1]Sheet1!$A$45:$D$48,4,FALSE),0)</f>
        <v>0</v>
      </c>
      <c r="I26" s="1">
        <f>_xlfn.IFNA(VLOOKUP($A26,[1]Sheet1!$A$49:$D$59,4,FALSE),0)</f>
        <v>0</v>
      </c>
      <c r="J26" s="1">
        <v>1</v>
      </c>
      <c r="K26" s="1">
        <v>0</v>
      </c>
      <c r="L26">
        <v>19</v>
      </c>
      <c r="M26">
        <v>28</v>
      </c>
      <c r="N26">
        <v>32</v>
      </c>
      <c r="O26">
        <v>5</v>
      </c>
      <c r="P26">
        <v>12</v>
      </c>
      <c r="Q26">
        <v>81</v>
      </c>
      <c r="R26">
        <v>92</v>
      </c>
      <c r="S26">
        <v>51</v>
      </c>
      <c r="T26">
        <v>72</v>
      </c>
      <c r="U26">
        <v>3.6000002E-3</v>
      </c>
      <c r="V26">
        <v>0.43178244999999998</v>
      </c>
      <c r="W26">
        <v>1</v>
      </c>
      <c r="X26">
        <v>21.7</v>
      </c>
      <c r="Y26">
        <v>99.4</v>
      </c>
      <c r="Z26">
        <v>0</v>
      </c>
      <c r="AA26">
        <v>0</v>
      </c>
      <c r="AB26">
        <v>78</v>
      </c>
      <c r="AC26">
        <v>-1.1000000000000001</v>
      </c>
      <c r="AD26">
        <v>0.39403462</v>
      </c>
      <c r="AE26">
        <v>0</v>
      </c>
      <c r="AF26">
        <v>0</v>
      </c>
      <c r="AG26">
        <v>8.309329</v>
      </c>
      <c r="AH26">
        <v>3.6097085</v>
      </c>
      <c r="AI26">
        <v>4.2626799999999996</v>
      </c>
      <c r="AJ26">
        <v>21.6</v>
      </c>
      <c r="AK26">
        <v>15</v>
      </c>
    </row>
    <row r="27" spans="1:37" x14ac:dyDescent="0.3">
      <c r="A27" s="1" t="s">
        <v>58</v>
      </c>
      <c r="B27" s="1">
        <v>0</v>
      </c>
      <c r="C27" s="1">
        <v>5.5555555999999999E-2</v>
      </c>
      <c r="D27" s="1">
        <v>0</v>
      </c>
      <c r="E27" s="1">
        <v>1</v>
      </c>
      <c r="F27" s="1">
        <v>0</v>
      </c>
      <c r="G27" s="1">
        <f>_xlfn.IFNA(VLOOKUP($A27,[1]Sheet1!$A$32:$D$42,4,FALSE),0)</f>
        <v>0</v>
      </c>
      <c r="H27" s="1">
        <v>0</v>
      </c>
      <c r="I27" s="1">
        <f>_xlfn.IFNA(VLOOKUP($A27,[1]Sheet1!$A$49:$D$59,4,FALSE),0)</f>
        <v>0</v>
      </c>
      <c r="J27" s="1">
        <v>0</v>
      </c>
      <c r="K27" s="1">
        <v>1</v>
      </c>
      <c r="L27">
        <v>27</v>
      </c>
      <c r="M27">
        <v>31</v>
      </c>
      <c r="N27">
        <v>34</v>
      </c>
      <c r="O27">
        <v>20</v>
      </c>
      <c r="P27">
        <v>22</v>
      </c>
      <c r="Q27">
        <v>83</v>
      </c>
      <c r="R27">
        <v>93</v>
      </c>
      <c r="S27">
        <v>69</v>
      </c>
      <c r="T27">
        <v>77</v>
      </c>
      <c r="U27">
        <v>0.49503002000000002</v>
      </c>
      <c r="V27">
        <v>-1.5464631</v>
      </c>
      <c r="W27">
        <v>1</v>
      </c>
      <c r="X27">
        <v>40.6</v>
      </c>
      <c r="Y27">
        <v>8</v>
      </c>
      <c r="Z27">
        <v>50.7</v>
      </c>
      <c r="AA27">
        <v>6.3</v>
      </c>
      <c r="AB27">
        <v>153</v>
      </c>
      <c r="AC27">
        <v>-0.56999999999999995</v>
      </c>
      <c r="AD27">
        <v>1.9385091000000001</v>
      </c>
      <c r="AE27">
        <v>0</v>
      </c>
      <c r="AF27">
        <v>0</v>
      </c>
      <c r="AG27">
        <v>7.8384932999999997</v>
      </c>
      <c r="AH27">
        <v>8.0419129999999992</v>
      </c>
      <c r="AI27">
        <v>3.4713452</v>
      </c>
    </row>
    <row r="28" spans="1:37" x14ac:dyDescent="0.3">
      <c r="A28" s="1" t="s">
        <v>59</v>
      </c>
      <c r="B28" s="1">
        <v>0</v>
      </c>
      <c r="C28" s="1">
        <v>0.24611110999999999</v>
      </c>
      <c r="D28" s="1">
        <v>1</v>
      </c>
      <c r="E28" s="1">
        <v>1</v>
      </c>
      <c r="F28" s="1">
        <v>0</v>
      </c>
      <c r="G28" s="1">
        <f>_xlfn.IFNA(VLOOKUP($A28,[1]Sheet1!$A$32:$D$42,4,FALSE),0)</f>
        <v>0</v>
      </c>
      <c r="H28" s="1">
        <f>_xlfn.IFNA(VLOOKUP($A28,[1]Sheet1!$A$45:$D$48,4,FALSE),0)</f>
        <v>0</v>
      </c>
      <c r="I28" s="1">
        <f>_xlfn.IFNA(VLOOKUP($A28,[1]Sheet1!$A$49:$D$59,4,FALSE),0)</f>
        <v>0</v>
      </c>
      <c r="J28" s="1">
        <v>0</v>
      </c>
      <c r="K28" s="1">
        <v>1</v>
      </c>
      <c r="L28">
        <v>21</v>
      </c>
      <c r="M28">
        <v>26</v>
      </c>
      <c r="N28">
        <v>36</v>
      </c>
      <c r="O28">
        <v>0</v>
      </c>
      <c r="P28">
        <v>22</v>
      </c>
      <c r="Q28">
        <v>73</v>
      </c>
      <c r="R28">
        <v>87</v>
      </c>
      <c r="S28">
        <v>60</v>
      </c>
      <c r="T28">
        <v>78</v>
      </c>
      <c r="U28">
        <v>0</v>
      </c>
      <c r="V28">
        <v>-2.437894</v>
      </c>
      <c r="W28">
        <v>0</v>
      </c>
      <c r="X28">
        <v>12</v>
      </c>
      <c r="Y28">
        <v>1</v>
      </c>
      <c r="Z28">
        <v>1.2</v>
      </c>
      <c r="AA28">
        <v>0.3</v>
      </c>
      <c r="AC28">
        <v>1.5</v>
      </c>
      <c r="AD28">
        <v>2.2168620999999999E-2</v>
      </c>
      <c r="AE28">
        <v>1</v>
      </c>
      <c r="AF28">
        <v>0</v>
      </c>
      <c r="AG28">
        <v>10.482286999999999</v>
      </c>
      <c r="AH28">
        <v>9.4051074999999997</v>
      </c>
      <c r="AI28">
        <v>2.7013612</v>
      </c>
    </row>
    <row r="29" spans="1:37" x14ac:dyDescent="0.3">
      <c r="A29" s="1" t="s">
        <v>60</v>
      </c>
      <c r="B29" s="1">
        <v>0</v>
      </c>
      <c r="C29" s="1">
        <v>0.16666666999999999</v>
      </c>
      <c r="D29" s="1">
        <v>0</v>
      </c>
      <c r="E29" s="1">
        <v>1</v>
      </c>
      <c r="F29" s="1">
        <v>0</v>
      </c>
      <c r="G29" s="1">
        <f>_xlfn.IFNA(VLOOKUP($A29,[1]Sheet1!$A$32:$D$42,4,FALSE),0)</f>
        <v>0</v>
      </c>
      <c r="H29" s="1">
        <f>_xlfn.IFNA(VLOOKUP($A29,[1]Sheet1!$A$45:$D$48,4,FALSE),0)</f>
        <v>0</v>
      </c>
      <c r="I29" s="1">
        <f>_xlfn.IFNA(VLOOKUP($A29,[1]Sheet1!$A$49:$D$59,4,FALSE),0)</f>
        <v>0</v>
      </c>
      <c r="J29" s="1">
        <v>1</v>
      </c>
      <c r="K29" s="1">
        <v>0</v>
      </c>
      <c r="L29">
        <v>22</v>
      </c>
      <c r="M29">
        <v>25</v>
      </c>
      <c r="N29">
        <v>30</v>
      </c>
      <c r="O29">
        <v>14</v>
      </c>
      <c r="P29">
        <v>18</v>
      </c>
      <c r="Q29">
        <v>79</v>
      </c>
      <c r="R29">
        <v>91</v>
      </c>
      <c r="S29">
        <v>43</v>
      </c>
      <c r="T29">
        <v>70</v>
      </c>
      <c r="U29">
        <v>1.2E-2</v>
      </c>
      <c r="V29">
        <v>0.43178240000000001</v>
      </c>
      <c r="W29">
        <v>1</v>
      </c>
      <c r="X29">
        <v>29.4</v>
      </c>
      <c r="Y29">
        <v>97</v>
      </c>
      <c r="Z29">
        <v>0</v>
      </c>
      <c r="AA29">
        <v>0</v>
      </c>
      <c r="AB29">
        <v>64</v>
      </c>
      <c r="AC29">
        <v>-0.92</v>
      </c>
      <c r="AD29">
        <v>0.46547230000000001</v>
      </c>
      <c r="AE29">
        <v>0</v>
      </c>
      <c r="AF29">
        <v>0</v>
      </c>
      <c r="AG29">
        <v>8.0946409999999993</v>
      </c>
      <c r="AH29">
        <v>5.8481560000000004</v>
      </c>
      <c r="AI29">
        <v>4.3579903</v>
      </c>
      <c r="AJ29">
        <v>24.2</v>
      </c>
      <c r="AK29">
        <v>17.7</v>
      </c>
    </row>
    <row r="30" spans="1:37" x14ac:dyDescent="0.3">
      <c r="A30" s="1" t="s">
        <v>61</v>
      </c>
      <c r="B30" s="1">
        <v>0</v>
      </c>
      <c r="C30" s="1">
        <v>0.21111110999999999</v>
      </c>
      <c r="D30" s="1">
        <v>0</v>
      </c>
      <c r="E30" s="1">
        <v>1</v>
      </c>
      <c r="F30" s="1">
        <v>1</v>
      </c>
      <c r="G30" s="1">
        <f>_xlfn.IFNA(VLOOKUP($A30,[1]Sheet1!$A$32:$D$42,4,FALSE),0)</f>
        <v>0</v>
      </c>
      <c r="H30" s="1">
        <f>_xlfn.IFNA(VLOOKUP($A30,[1]Sheet1!$A$45:$D$48,4,FALSE),0)</f>
        <v>0</v>
      </c>
      <c r="I30" s="1">
        <f>_xlfn.IFNA(VLOOKUP($A30,[1]Sheet1!$A$49:$D$59,4,FALSE),0)</f>
        <v>0</v>
      </c>
      <c r="J30" s="1">
        <v>0</v>
      </c>
      <c r="K30" s="1">
        <v>0</v>
      </c>
      <c r="L30">
        <v>27</v>
      </c>
      <c r="M30">
        <v>34</v>
      </c>
      <c r="N30">
        <v>38</v>
      </c>
      <c r="O30">
        <v>16</v>
      </c>
      <c r="P30">
        <v>20</v>
      </c>
      <c r="Q30">
        <v>68</v>
      </c>
      <c r="R30">
        <v>79</v>
      </c>
      <c r="S30">
        <v>43</v>
      </c>
      <c r="T30">
        <v>56</v>
      </c>
      <c r="U30">
        <v>1</v>
      </c>
      <c r="V30">
        <v>0.27763188</v>
      </c>
      <c r="W30">
        <v>1</v>
      </c>
      <c r="X30">
        <v>1.6</v>
      </c>
      <c r="Y30">
        <v>95.2</v>
      </c>
      <c r="Z30">
        <v>4.8</v>
      </c>
      <c r="AA30">
        <v>0</v>
      </c>
      <c r="AB30">
        <v>137</v>
      </c>
      <c r="AC30">
        <v>-1.32</v>
      </c>
      <c r="AD30">
        <v>8.8757396000000002E-2</v>
      </c>
      <c r="AE30">
        <v>0</v>
      </c>
      <c r="AF30">
        <v>0</v>
      </c>
      <c r="AG30">
        <v>6.9307217999999997</v>
      </c>
      <c r="AH30">
        <v>4.4528856000000001</v>
      </c>
      <c r="AI30">
        <v>4.8675345999999999</v>
      </c>
    </row>
    <row r="31" spans="1:37" x14ac:dyDescent="0.3">
      <c r="A31" s="1" t="s">
        <v>62</v>
      </c>
      <c r="B31" s="1">
        <v>0</v>
      </c>
      <c r="C31" s="1">
        <v>5.5599999999999997E-2</v>
      </c>
      <c r="D31" s="1">
        <v>1</v>
      </c>
      <c r="E31" s="1">
        <v>1</v>
      </c>
      <c r="F31" s="1">
        <v>0</v>
      </c>
      <c r="G31" s="1">
        <f>_xlfn.IFNA(VLOOKUP($A31,[1]Sheet1!$A$32:$D$42,4,FALSE),0)</f>
        <v>0</v>
      </c>
      <c r="H31" s="1">
        <f>_xlfn.IFNA(VLOOKUP($A31,[1]Sheet1!$A$45:$D$48,4,FALSE),0)</f>
        <v>1</v>
      </c>
      <c r="I31" s="1">
        <f>_xlfn.IFNA(VLOOKUP($A31,[1]Sheet1!$A$49:$D$59,4,FALSE),0)</f>
        <v>0</v>
      </c>
      <c r="J31" s="1">
        <v>0</v>
      </c>
      <c r="K31" s="1">
        <v>0</v>
      </c>
      <c r="L31">
        <v>28</v>
      </c>
      <c r="M31">
        <v>33</v>
      </c>
      <c r="N31">
        <v>37</v>
      </c>
      <c r="O31">
        <v>19</v>
      </c>
      <c r="P31">
        <v>21</v>
      </c>
      <c r="Q31">
        <v>90</v>
      </c>
      <c r="R31">
        <v>95</v>
      </c>
      <c r="S31">
        <v>61</v>
      </c>
      <c r="T31">
        <v>75</v>
      </c>
      <c r="U31">
        <v>0.17873</v>
      </c>
      <c r="V31">
        <v>1.4534990000000001</v>
      </c>
      <c r="W31">
        <v>0</v>
      </c>
      <c r="X31">
        <v>2.5</v>
      </c>
      <c r="Y31">
        <v>0.1</v>
      </c>
      <c r="Z31">
        <v>1.2</v>
      </c>
      <c r="AA31">
        <v>40</v>
      </c>
      <c r="AB31">
        <v>355</v>
      </c>
      <c r="AC31">
        <v>-0.6</v>
      </c>
      <c r="AD31">
        <v>0.15906519</v>
      </c>
      <c r="AE31">
        <v>0</v>
      </c>
      <c r="AF31">
        <v>0</v>
      </c>
      <c r="AG31">
        <v>8.0398940000000003</v>
      </c>
      <c r="AH31">
        <v>5.0263586</v>
      </c>
      <c r="AI31">
        <v>5.1357984999999999</v>
      </c>
    </row>
    <row r="32" spans="1:37" x14ac:dyDescent="0.3">
      <c r="A32" s="1" t="s">
        <v>63</v>
      </c>
      <c r="B32" s="1">
        <v>0</v>
      </c>
      <c r="C32" s="1">
        <v>0.22220000000000001</v>
      </c>
      <c r="D32" s="1">
        <v>1</v>
      </c>
      <c r="E32" s="1">
        <v>1</v>
      </c>
      <c r="F32" s="1">
        <v>0</v>
      </c>
      <c r="G32" s="1">
        <f>_xlfn.IFNA(VLOOKUP($A32,[1]Sheet1!$A$32:$D$42,4,FALSE),0)</f>
        <v>0</v>
      </c>
      <c r="H32" s="1">
        <f>_xlfn.IFNA(VLOOKUP($A32,[1]Sheet1!$A$45:$D$48,4,FALSE),0)</f>
        <v>0</v>
      </c>
      <c r="I32" s="1">
        <f>_xlfn.IFNA(VLOOKUP($A32,[1]Sheet1!$A$49:$D$59,4,FALSE),0)</f>
        <v>0</v>
      </c>
      <c r="J32" s="1">
        <v>0</v>
      </c>
      <c r="K32" s="1">
        <v>1</v>
      </c>
      <c r="L32">
        <v>24</v>
      </c>
      <c r="M32">
        <v>28</v>
      </c>
      <c r="N32">
        <v>46</v>
      </c>
      <c r="O32">
        <v>-1</v>
      </c>
      <c r="P32">
        <v>22</v>
      </c>
      <c r="Q32">
        <v>35</v>
      </c>
      <c r="R32">
        <v>80</v>
      </c>
      <c r="S32">
        <v>19</v>
      </c>
      <c r="T32">
        <v>64</v>
      </c>
      <c r="U32">
        <v>0.23596</v>
      </c>
      <c r="V32">
        <v>3.1654751000000001</v>
      </c>
      <c r="W32">
        <v>0</v>
      </c>
      <c r="X32">
        <v>4.7</v>
      </c>
      <c r="Y32">
        <v>0.8</v>
      </c>
      <c r="Z32">
        <v>0.5</v>
      </c>
      <c r="AA32">
        <v>13.7</v>
      </c>
      <c r="AB32">
        <v>254</v>
      </c>
      <c r="AC32">
        <v>0</v>
      </c>
      <c r="AD32">
        <v>0.25797403000000002</v>
      </c>
      <c r="AE32">
        <v>0</v>
      </c>
      <c r="AF32">
        <v>0</v>
      </c>
      <c r="AG32">
        <v>7.6998689999999996</v>
      </c>
      <c r="AH32">
        <v>3.9850028000000002</v>
      </c>
      <c r="AI32">
        <v>3.8842406</v>
      </c>
    </row>
    <row r="33" spans="1:37" x14ac:dyDescent="0.3">
      <c r="A33" s="1" t="s">
        <v>64</v>
      </c>
      <c r="B33" s="1">
        <v>0</v>
      </c>
      <c r="C33" s="1">
        <v>0.20166666999999999</v>
      </c>
      <c r="D33" s="1">
        <v>0</v>
      </c>
      <c r="E33" s="1">
        <v>1</v>
      </c>
      <c r="F33" s="1">
        <v>0</v>
      </c>
      <c r="G33" s="1">
        <f>_xlfn.IFNA(VLOOKUP($A33,[1]Sheet1!$A$32:$D$42,4,FALSE),0)</f>
        <v>0</v>
      </c>
      <c r="H33" s="1">
        <f>_xlfn.IFNA(VLOOKUP($A33,[1]Sheet1!$A$45:$D$48,4,FALSE),0)</f>
        <v>0</v>
      </c>
      <c r="I33" s="1">
        <f>_xlfn.IFNA(VLOOKUP($A33,[1]Sheet1!$A$49:$D$59,4,FALSE),0)</f>
        <v>0</v>
      </c>
      <c r="J33" s="1">
        <v>0</v>
      </c>
      <c r="K33" s="1">
        <v>1</v>
      </c>
      <c r="L33">
        <v>26</v>
      </c>
      <c r="M33">
        <v>33</v>
      </c>
      <c r="N33">
        <v>36</v>
      </c>
      <c r="O33">
        <v>14</v>
      </c>
      <c r="P33">
        <v>20</v>
      </c>
      <c r="Q33">
        <v>77</v>
      </c>
      <c r="R33">
        <v>88</v>
      </c>
      <c r="S33">
        <v>61</v>
      </c>
      <c r="T33">
        <v>73</v>
      </c>
      <c r="U33">
        <v>0</v>
      </c>
      <c r="V33">
        <v>1.5303947</v>
      </c>
      <c r="W33">
        <v>1</v>
      </c>
      <c r="X33">
        <v>50.6</v>
      </c>
      <c r="Y33">
        <v>2</v>
      </c>
      <c r="Z33">
        <v>90.9</v>
      </c>
      <c r="AA33">
        <v>0.3</v>
      </c>
      <c r="AB33">
        <v>206</v>
      </c>
      <c r="AC33">
        <v>-0.48</v>
      </c>
      <c r="AD33">
        <v>1.8056867999999999</v>
      </c>
      <c r="AE33">
        <v>0</v>
      </c>
      <c r="AF33">
        <v>0</v>
      </c>
      <c r="AG33">
        <v>8.8575780000000002</v>
      </c>
      <c r="AH33">
        <v>9.0138590000000001</v>
      </c>
      <c r="AI33">
        <v>4.8675345999999999</v>
      </c>
    </row>
    <row r="34" spans="1:37" x14ac:dyDescent="0.3">
      <c r="A34" s="1" t="s">
        <v>65</v>
      </c>
      <c r="B34" s="1">
        <v>1</v>
      </c>
      <c r="C34" s="1">
        <v>1.1111111E-2</v>
      </c>
      <c r="D34" s="1">
        <v>0</v>
      </c>
      <c r="E34" s="1">
        <v>1</v>
      </c>
      <c r="F34" s="1">
        <v>0</v>
      </c>
      <c r="G34" s="1">
        <f>_xlfn.IFNA(VLOOKUP($A34,[1]Sheet1!$A$32:$D$42,4,FALSE),0)</f>
        <v>0</v>
      </c>
      <c r="H34" s="1">
        <f>_xlfn.IFNA(VLOOKUP($A34,[1]Sheet1!$A$45:$D$48,4,FALSE),0)</f>
        <v>0</v>
      </c>
      <c r="I34" s="1">
        <f>_xlfn.IFNA(VLOOKUP($A34,[1]Sheet1!$A$49:$D$59,4,FALSE),0)</f>
        <v>0</v>
      </c>
      <c r="J34" s="1">
        <v>0</v>
      </c>
      <c r="K34" s="1">
        <v>1</v>
      </c>
      <c r="L34">
        <v>18</v>
      </c>
      <c r="M34">
        <v>26</v>
      </c>
      <c r="N34">
        <v>31</v>
      </c>
      <c r="O34">
        <v>5</v>
      </c>
      <c r="P34">
        <v>11</v>
      </c>
      <c r="Q34">
        <v>74</v>
      </c>
      <c r="R34">
        <v>89</v>
      </c>
      <c r="S34">
        <v>40</v>
      </c>
      <c r="T34">
        <v>62</v>
      </c>
      <c r="U34">
        <v>0.79800000000000004</v>
      </c>
      <c r="V34">
        <v>0.96909400000000001</v>
      </c>
      <c r="W34">
        <v>0</v>
      </c>
      <c r="X34">
        <v>13</v>
      </c>
      <c r="Y34">
        <v>0.1</v>
      </c>
      <c r="Z34">
        <v>0.1</v>
      </c>
      <c r="AA34">
        <v>3.4</v>
      </c>
      <c r="AB34">
        <v>114</v>
      </c>
      <c r="AC34">
        <v>-1.07</v>
      </c>
      <c r="AD34">
        <v>1.0974576</v>
      </c>
      <c r="AE34">
        <v>0</v>
      </c>
      <c r="AF34">
        <v>0</v>
      </c>
      <c r="AG34">
        <v>7.2051879999999997</v>
      </c>
      <c r="AH34">
        <v>5.9191684999999996</v>
      </c>
      <c r="AI34">
        <v>4.9767336999999996</v>
      </c>
    </row>
    <row r="35" spans="1:37" x14ac:dyDescent="0.3">
      <c r="A35" s="1" t="s">
        <v>66</v>
      </c>
      <c r="B35" s="1">
        <v>0</v>
      </c>
      <c r="C35" s="1">
        <v>7.7777780000000005E-2</v>
      </c>
      <c r="D35" s="1">
        <v>1</v>
      </c>
      <c r="E35" s="1">
        <v>1</v>
      </c>
      <c r="F35" s="1">
        <v>0</v>
      </c>
      <c r="G35" s="1">
        <f>_xlfn.IFNA(VLOOKUP($A35,[1]Sheet1!$A$32:$D$42,4,FALSE),0)</f>
        <v>0</v>
      </c>
      <c r="H35" s="1">
        <f>_xlfn.IFNA(VLOOKUP($A35,[1]Sheet1!$A$45:$D$48,4,FALSE),0)</f>
        <v>0</v>
      </c>
      <c r="I35" s="1">
        <v>0</v>
      </c>
      <c r="J35" s="1">
        <v>0</v>
      </c>
      <c r="K35" s="1">
        <v>1</v>
      </c>
      <c r="L35">
        <v>27</v>
      </c>
      <c r="M35">
        <v>31</v>
      </c>
      <c r="N35">
        <v>36</v>
      </c>
      <c r="O35">
        <v>15</v>
      </c>
      <c r="P35">
        <v>22</v>
      </c>
      <c r="Q35">
        <v>71</v>
      </c>
      <c r="R35">
        <v>80</v>
      </c>
      <c r="S35">
        <v>66</v>
      </c>
      <c r="T35">
        <v>78</v>
      </c>
      <c r="U35">
        <v>0.13800000000000001</v>
      </c>
      <c r="V35">
        <v>2.7390766000000002</v>
      </c>
      <c r="W35">
        <v>0</v>
      </c>
      <c r="X35">
        <v>21.9</v>
      </c>
      <c r="Y35">
        <v>8.1</v>
      </c>
      <c r="Z35">
        <v>1.8</v>
      </c>
      <c r="AA35">
        <v>6.9</v>
      </c>
      <c r="AB35">
        <v>156</v>
      </c>
      <c r="AC35">
        <v>-0.08</v>
      </c>
      <c r="AD35">
        <v>0.49505510000000003</v>
      </c>
      <c r="AE35">
        <v>0</v>
      </c>
      <c r="AF35">
        <v>0</v>
      </c>
      <c r="AG35">
        <v>8.1647069999999999</v>
      </c>
      <c r="AH35">
        <v>10.422917</v>
      </c>
      <c r="AI35">
        <v>4.2456339999999999</v>
      </c>
    </row>
    <row r="36" spans="1:37" x14ac:dyDescent="0.3">
      <c r="A36" s="1" t="s">
        <v>67</v>
      </c>
      <c r="B36" s="1">
        <v>1</v>
      </c>
      <c r="C36" s="1">
        <v>0.35555555999999999</v>
      </c>
      <c r="D36" s="1">
        <v>0</v>
      </c>
      <c r="E36" s="1">
        <v>1</v>
      </c>
      <c r="F36" s="1">
        <v>1</v>
      </c>
      <c r="G36" s="1">
        <f>_xlfn.IFNA(VLOOKUP($A36,[1]Sheet1!$A$32:$D$42,4,FALSE),0)</f>
        <v>0</v>
      </c>
      <c r="H36" s="1">
        <f>_xlfn.IFNA(VLOOKUP($A36,[1]Sheet1!$A$45:$D$48,4,FALSE),0)</f>
        <v>0</v>
      </c>
      <c r="I36" s="1">
        <f>_xlfn.IFNA(VLOOKUP($A36,[1]Sheet1!$A$49:$D$59,4,FALSE),0)</f>
        <v>0</v>
      </c>
      <c r="J36" s="1">
        <v>0</v>
      </c>
      <c r="K36" s="1">
        <v>0</v>
      </c>
      <c r="L36">
        <v>24</v>
      </c>
      <c r="M36">
        <v>27</v>
      </c>
      <c r="N36">
        <v>48</v>
      </c>
      <c r="O36">
        <v>0</v>
      </c>
      <c r="P36">
        <v>12</v>
      </c>
      <c r="Q36">
        <v>87</v>
      </c>
      <c r="R36">
        <v>92</v>
      </c>
      <c r="S36">
        <v>59</v>
      </c>
      <c r="T36">
        <v>72</v>
      </c>
      <c r="U36">
        <v>0</v>
      </c>
      <c r="V36">
        <v>2.2064811999999998</v>
      </c>
      <c r="W36">
        <v>0</v>
      </c>
      <c r="X36">
        <v>1.7</v>
      </c>
      <c r="Y36">
        <v>0.5</v>
      </c>
      <c r="Z36">
        <v>0</v>
      </c>
      <c r="AA36">
        <v>96.4</v>
      </c>
      <c r="AB36">
        <v>76</v>
      </c>
      <c r="AC36">
        <v>-0.22</v>
      </c>
      <c r="AD36">
        <v>0.12166667</v>
      </c>
      <c r="AE36">
        <v>0</v>
      </c>
      <c r="AF36">
        <v>0</v>
      </c>
      <c r="AG36">
        <v>8.1628869999999996</v>
      </c>
      <c r="AH36">
        <v>3.8993948</v>
      </c>
      <c r="AI36">
        <v>4.3592696000000002</v>
      </c>
      <c r="AJ36">
        <v>0.1</v>
      </c>
      <c r="AK36">
        <v>3.6</v>
      </c>
    </row>
    <row r="37" spans="1:37" x14ac:dyDescent="0.3">
      <c r="A37" s="1" t="s">
        <v>68</v>
      </c>
      <c r="B37" s="1">
        <v>1</v>
      </c>
      <c r="C37" s="1">
        <v>0.22222222</v>
      </c>
      <c r="D37" s="1">
        <v>0</v>
      </c>
      <c r="E37" s="1">
        <v>1</v>
      </c>
      <c r="F37" s="1">
        <v>1</v>
      </c>
      <c r="G37" s="1">
        <f>_xlfn.IFNA(VLOOKUP($A37,[1]Sheet1!$A$32:$D$42,4,FALSE),0)</f>
        <v>0</v>
      </c>
      <c r="H37" s="1">
        <f>_xlfn.IFNA(VLOOKUP($A37,[1]Sheet1!$A$45:$D$48,4,FALSE),0)</f>
        <v>0</v>
      </c>
      <c r="I37" s="1">
        <f>_xlfn.IFNA(VLOOKUP($A37,[1]Sheet1!$A$49:$D$59,4,FALSE),0)</f>
        <v>0</v>
      </c>
      <c r="J37" s="1">
        <v>0</v>
      </c>
      <c r="K37" s="1">
        <v>0</v>
      </c>
      <c r="L37">
        <v>18</v>
      </c>
      <c r="M37">
        <v>27</v>
      </c>
      <c r="N37">
        <v>35</v>
      </c>
      <c r="O37">
        <v>1</v>
      </c>
      <c r="P37">
        <v>12</v>
      </c>
      <c r="Q37">
        <v>85</v>
      </c>
      <c r="R37">
        <v>94</v>
      </c>
      <c r="S37">
        <v>49</v>
      </c>
      <c r="T37">
        <v>71</v>
      </c>
      <c r="U37">
        <v>0.95</v>
      </c>
      <c r="V37">
        <v>0.18540059</v>
      </c>
      <c r="W37">
        <v>0</v>
      </c>
      <c r="X37">
        <v>8.6999999999999993</v>
      </c>
      <c r="Y37">
        <v>18</v>
      </c>
      <c r="Z37">
        <v>21.2</v>
      </c>
      <c r="AA37">
        <v>0.5</v>
      </c>
      <c r="AB37">
        <v>142</v>
      </c>
      <c r="AC37">
        <v>-0.72</v>
      </c>
      <c r="AD37">
        <v>0.80065984000000001</v>
      </c>
      <c r="AE37">
        <v>0</v>
      </c>
      <c r="AF37">
        <v>0</v>
      </c>
      <c r="AG37">
        <v>6.7669689999999996</v>
      </c>
      <c r="AH37">
        <v>3.57</v>
      </c>
      <c r="AI37">
        <v>5.5214610000000004</v>
      </c>
    </row>
    <row r="38" spans="1:37" x14ac:dyDescent="0.3">
      <c r="A38" s="1" t="s">
        <v>69</v>
      </c>
      <c r="B38" s="1">
        <v>0</v>
      </c>
      <c r="C38" s="1">
        <v>0.25555557000000001</v>
      </c>
      <c r="D38" s="1">
        <v>0</v>
      </c>
      <c r="E38" s="1">
        <v>1</v>
      </c>
      <c r="F38" s="1">
        <v>0</v>
      </c>
      <c r="G38" s="1">
        <f>_xlfn.IFNA(VLOOKUP($A38,[1]Sheet1!$A$32:$D$42,4,FALSE),0)</f>
        <v>0</v>
      </c>
      <c r="H38" s="1">
        <f>_xlfn.IFNA(VLOOKUP($A38,[1]Sheet1!$A$45:$D$48,4,FALSE),0)</f>
        <v>0</v>
      </c>
      <c r="I38" s="1">
        <f>_xlfn.IFNA(VLOOKUP($A38,[1]Sheet1!$A$49:$D$59,4,FALSE),0)</f>
        <v>0</v>
      </c>
      <c r="J38" s="1">
        <v>1</v>
      </c>
      <c r="K38" s="1">
        <v>0</v>
      </c>
      <c r="L38">
        <v>16</v>
      </c>
      <c r="M38">
        <v>23</v>
      </c>
      <c r="N38">
        <v>32</v>
      </c>
      <c r="O38">
        <v>-3</v>
      </c>
      <c r="P38">
        <v>9</v>
      </c>
      <c r="Q38">
        <v>66</v>
      </c>
      <c r="R38">
        <v>86</v>
      </c>
      <c r="S38">
        <v>26</v>
      </c>
      <c r="T38">
        <v>54</v>
      </c>
      <c r="U38">
        <v>4.2000000000000002E-4</v>
      </c>
      <c r="V38">
        <v>0.96302074000000004</v>
      </c>
      <c r="W38">
        <v>1</v>
      </c>
      <c r="X38">
        <v>25.3</v>
      </c>
      <c r="Y38">
        <v>98.8</v>
      </c>
      <c r="Z38">
        <v>0.4</v>
      </c>
      <c r="AA38">
        <v>0</v>
      </c>
      <c r="AB38">
        <v>90</v>
      </c>
      <c r="AC38">
        <v>-0.59</v>
      </c>
      <c r="AD38">
        <v>0.20091608</v>
      </c>
      <c r="AE38">
        <v>0</v>
      </c>
      <c r="AF38">
        <v>0</v>
      </c>
      <c r="AG38">
        <v>9.4084590000000006</v>
      </c>
      <c r="AH38">
        <v>7.8266754000000001</v>
      </c>
      <c r="AI38">
        <v>4.2626799999999996</v>
      </c>
    </row>
    <row r="39" spans="1:37" x14ac:dyDescent="0.3">
      <c r="A39" s="1" t="s">
        <v>70</v>
      </c>
      <c r="B39" s="1">
        <v>1</v>
      </c>
      <c r="C39" s="1">
        <v>0.18888889</v>
      </c>
      <c r="D39" s="1">
        <v>0</v>
      </c>
      <c r="E39" s="1">
        <v>1</v>
      </c>
      <c r="F39" s="1">
        <v>1</v>
      </c>
      <c r="G39" s="1">
        <f>_xlfn.IFNA(VLOOKUP($A39,[1]Sheet1!$A$32:$D$42,4,FALSE),0)</f>
        <v>0</v>
      </c>
      <c r="H39" s="1">
        <f>_xlfn.IFNA(VLOOKUP($A39,[1]Sheet1!$A$45:$D$48,4,FALSE),0)</f>
        <v>0</v>
      </c>
      <c r="I39" s="1">
        <f>_xlfn.IFNA(VLOOKUP($A39,[1]Sheet1!$A$49:$D$59,4,FALSE),0)</f>
        <v>0</v>
      </c>
      <c r="J39" s="1">
        <v>0</v>
      </c>
      <c r="K39" s="1">
        <v>0</v>
      </c>
      <c r="L39">
        <v>29</v>
      </c>
      <c r="M39">
        <v>36</v>
      </c>
      <c r="N39">
        <v>47</v>
      </c>
      <c r="O39">
        <v>8</v>
      </c>
      <c r="P39">
        <v>19</v>
      </c>
      <c r="Q39">
        <v>33</v>
      </c>
      <c r="R39">
        <v>94</v>
      </c>
      <c r="S39">
        <v>18</v>
      </c>
      <c r="T39">
        <v>73</v>
      </c>
      <c r="U39">
        <v>0.9405</v>
      </c>
      <c r="V39">
        <v>0</v>
      </c>
      <c r="W39">
        <v>0</v>
      </c>
      <c r="X39">
        <v>0.6</v>
      </c>
      <c r="Y39">
        <v>0</v>
      </c>
      <c r="Z39">
        <v>0</v>
      </c>
      <c r="AA39">
        <v>30</v>
      </c>
      <c r="AB39">
        <v>41</v>
      </c>
      <c r="AC39">
        <v>-0.38</v>
      </c>
      <c r="AD39">
        <v>3.2000000000000001E-2</v>
      </c>
      <c r="AE39">
        <v>0</v>
      </c>
      <c r="AF39">
        <v>0</v>
      </c>
      <c r="AG39">
        <v>6.7850840000000003</v>
      </c>
      <c r="AH39">
        <v>1.1626559999999999</v>
      </c>
      <c r="AI39">
        <v>5.5214610000000004</v>
      </c>
      <c r="AJ39">
        <v>0.1</v>
      </c>
      <c r="AK39">
        <v>2.4</v>
      </c>
    </row>
    <row r="40" spans="1:37" x14ac:dyDescent="0.3">
      <c r="A40" s="1" t="s">
        <v>71</v>
      </c>
      <c r="B40" s="1">
        <v>0</v>
      </c>
      <c r="C40" s="1">
        <v>0.39444444000000001</v>
      </c>
      <c r="D40" s="1">
        <v>0</v>
      </c>
      <c r="E40" s="1">
        <v>1</v>
      </c>
      <c r="F40" s="1">
        <v>0</v>
      </c>
      <c r="G40" s="1">
        <f>_xlfn.IFNA(VLOOKUP($A40,[1]Sheet1!$A$32:$D$42,4,FALSE),0)</f>
        <v>0</v>
      </c>
      <c r="H40" s="1">
        <f>_xlfn.IFNA(VLOOKUP($A40,[1]Sheet1!$A$45:$D$48,4,FALSE),0)</f>
        <v>0</v>
      </c>
      <c r="I40" s="1">
        <f>_xlfn.IFNA(VLOOKUP($A40,[1]Sheet1!$A$49:$D$59,4,FALSE),0)</f>
        <v>0</v>
      </c>
      <c r="J40" s="1">
        <v>0</v>
      </c>
      <c r="K40" s="1">
        <v>1</v>
      </c>
      <c r="L40">
        <v>23</v>
      </c>
      <c r="M40">
        <v>22</v>
      </c>
      <c r="N40">
        <v>40</v>
      </c>
      <c r="O40">
        <v>5</v>
      </c>
      <c r="P40">
        <v>18</v>
      </c>
      <c r="Q40">
        <v>71</v>
      </c>
      <c r="R40">
        <v>78</v>
      </c>
      <c r="S40">
        <v>59</v>
      </c>
      <c r="T40">
        <v>68</v>
      </c>
      <c r="V40">
        <v>4.1351665999999998</v>
      </c>
      <c r="W40">
        <v>0</v>
      </c>
      <c r="X40">
        <v>37.799999999999997</v>
      </c>
      <c r="Y40">
        <v>89</v>
      </c>
      <c r="Z40">
        <v>10.8</v>
      </c>
      <c r="AA40">
        <v>0</v>
      </c>
      <c r="AC40">
        <v>1.52</v>
      </c>
      <c r="AD40">
        <v>0</v>
      </c>
      <c r="AE40">
        <v>1</v>
      </c>
      <c r="AF40">
        <v>0</v>
      </c>
      <c r="AG40">
        <v>9.9495780000000007</v>
      </c>
      <c r="AH40">
        <v>9.7460330000000006</v>
      </c>
      <c r="AI40">
        <v>2.7911649999999999</v>
      </c>
    </row>
    <row r="41" spans="1:37" x14ac:dyDescent="0.3">
      <c r="A41" s="1" t="s">
        <v>72</v>
      </c>
      <c r="B41" s="1">
        <v>0</v>
      </c>
      <c r="C41" s="1">
        <v>2.5555555000000001E-2</v>
      </c>
      <c r="D41" s="1">
        <v>1</v>
      </c>
      <c r="E41" s="1">
        <v>1</v>
      </c>
      <c r="F41" s="1">
        <v>0</v>
      </c>
      <c r="G41" s="1">
        <f>_xlfn.IFNA(VLOOKUP($A41,[1]Sheet1!$A$32:$D$42,4,FALSE),0)</f>
        <v>0</v>
      </c>
      <c r="H41" s="1">
        <f>_xlfn.IFNA(VLOOKUP($A41,[1]Sheet1!$A$45:$D$48,4,FALSE),0)</f>
        <v>0</v>
      </c>
      <c r="I41" s="1">
        <v>0</v>
      </c>
      <c r="J41" s="1">
        <v>0</v>
      </c>
      <c r="K41" s="1">
        <v>1</v>
      </c>
      <c r="L41">
        <v>28</v>
      </c>
      <c r="M41">
        <v>35</v>
      </c>
      <c r="N41">
        <v>37</v>
      </c>
      <c r="O41">
        <v>18</v>
      </c>
      <c r="P41">
        <v>21</v>
      </c>
      <c r="Q41">
        <v>95</v>
      </c>
      <c r="R41">
        <v>97</v>
      </c>
      <c r="S41">
        <v>58</v>
      </c>
      <c r="T41">
        <v>66</v>
      </c>
      <c r="U41">
        <v>0.23330999999999999</v>
      </c>
      <c r="V41">
        <v>0.19677547000000001</v>
      </c>
      <c r="W41">
        <v>0</v>
      </c>
      <c r="X41">
        <v>7.5</v>
      </c>
      <c r="Y41">
        <v>0.8</v>
      </c>
      <c r="Z41">
        <v>0.4</v>
      </c>
      <c r="AA41">
        <v>48.8</v>
      </c>
      <c r="AB41">
        <v>142</v>
      </c>
      <c r="AC41">
        <v>0.48</v>
      </c>
      <c r="AD41">
        <v>0.28959977999999997</v>
      </c>
      <c r="AE41">
        <v>0</v>
      </c>
      <c r="AF41">
        <v>0</v>
      </c>
      <c r="AG41">
        <v>9.3539449999999995</v>
      </c>
      <c r="AH41">
        <v>8.9388629999999996</v>
      </c>
      <c r="AI41">
        <v>2.8735647000000002</v>
      </c>
    </row>
    <row r="42" spans="1:37" x14ac:dyDescent="0.3">
      <c r="A42" s="1" t="s">
        <v>73</v>
      </c>
      <c r="B42" s="1">
        <v>1</v>
      </c>
      <c r="C42" s="1">
        <v>0.17777778</v>
      </c>
      <c r="D42" s="1">
        <v>0</v>
      </c>
      <c r="E42" s="1">
        <v>1</v>
      </c>
      <c r="F42" s="1">
        <v>1</v>
      </c>
      <c r="G42" s="1">
        <f>_xlfn.IFNA(VLOOKUP($A42,[1]Sheet1!$A$32:$D$42,4,FALSE),0)</f>
        <v>0</v>
      </c>
      <c r="H42" s="1">
        <f>_xlfn.IFNA(VLOOKUP($A42,[1]Sheet1!$A$45:$D$48,4,FALSE),0)</f>
        <v>0</v>
      </c>
      <c r="I42" s="1">
        <f>_xlfn.IFNA(VLOOKUP($A42,[1]Sheet1!$A$49:$D$59,4,FALSE),0)</f>
        <v>0</v>
      </c>
      <c r="J42" s="1">
        <v>0</v>
      </c>
      <c r="K42" s="1">
        <v>0</v>
      </c>
      <c r="L42">
        <v>29</v>
      </c>
      <c r="M42">
        <v>38</v>
      </c>
      <c r="N42">
        <v>46</v>
      </c>
      <c r="O42">
        <v>8</v>
      </c>
      <c r="P42">
        <v>19</v>
      </c>
      <c r="Q42">
        <v>26</v>
      </c>
      <c r="R42">
        <v>91</v>
      </c>
      <c r="S42">
        <v>11</v>
      </c>
      <c r="T42">
        <v>68</v>
      </c>
      <c r="U42">
        <v>0.9405</v>
      </c>
      <c r="V42">
        <v>0</v>
      </c>
      <c r="W42">
        <v>0</v>
      </c>
      <c r="X42">
        <v>0.6</v>
      </c>
      <c r="Y42">
        <v>0</v>
      </c>
      <c r="Z42">
        <v>0</v>
      </c>
      <c r="AA42">
        <v>45.1</v>
      </c>
      <c r="AB42">
        <v>37</v>
      </c>
      <c r="AC42">
        <v>-0.56999999999999995</v>
      </c>
      <c r="AD42">
        <v>0</v>
      </c>
      <c r="AE42">
        <v>0</v>
      </c>
      <c r="AF42">
        <v>0</v>
      </c>
      <c r="AG42">
        <v>6.4131919999999996</v>
      </c>
      <c r="AH42">
        <v>1.2869884</v>
      </c>
      <c r="AI42">
        <v>5.5214610000000004</v>
      </c>
    </row>
    <row r="43" spans="1:37" x14ac:dyDescent="0.3">
      <c r="A43" s="1" t="s">
        <v>74</v>
      </c>
      <c r="B43" s="1">
        <v>1</v>
      </c>
      <c r="C43" s="1">
        <v>0.11111111</v>
      </c>
      <c r="D43" s="1">
        <v>0</v>
      </c>
      <c r="E43" s="1">
        <v>1</v>
      </c>
      <c r="F43" s="1">
        <v>0</v>
      </c>
      <c r="G43" s="1">
        <f>_xlfn.IFNA(VLOOKUP($A43,[1]Sheet1!$A$32:$D$42,4,FALSE),0)</f>
        <v>0</v>
      </c>
      <c r="H43" s="1">
        <f>_xlfn.IFNA(VLOOKUP($A43,[1]Sheet1!$A$45:$D$48,4,FALSE),0)</f>
        <v>0</v>
      </c>
      <c r="I43" s="1">
        <f>_xlfn.IFNA(VLOOKUP($A43,[1]Sheet1!$A$49:$D$59,4,FALSE),0)</f>
        <v>0</v>
      </c>
      <c r="J43" s="1">
        <v>0</v>
      </c>
      <c r="K43" s="1">
        <v>1</v>
      </c>
      <c r="L43">
        <v>28</v>
      </c>
      <c r="M43">
        <v>34</v>
      </c>
      <c r="N43">
        <v>40</v>
      </c>
      <c r="O43">
        <v>16</v>
      </c>
      <c r="P43">
        <v>21</v>
      </c>
      <c r="Q43">
        <v>81</v>
      </c>
      <c r="R43">
        <v>87</v>
      </c>
      <c r="S43">
        <v>65</v>
      </c>
      <c r="T43">
        <v>80</v>
      </c>
      <c r="U43">
        <v>0.95</v>
      </c>
      <c r="V43">
        <v>1.442202</v>
      </c>
      <c r="W43">
        <v>0</v>
      </c>
      <c r="X43">
        <v>6.6</v>
      </c>
      <c r="Y43">
        <v>0.2</v>
      </c>
      <c r="Z43">
        <v>0.8</v>
      </c>
      <c r="AA43">
        <v>25.9</v>
      </c>
      <c r="AB43">
        <v>116</v>
      </c>
      <c r="AC43">
        <v>-1.2</v>
      </c>
      <c r="AD43">
        <v>0.26617809999999997</v>
      </c>
      <c r="AE43">
        <v>0</v>
      </c>
      <c r="AF43">
        <v>0</v>
      </c>
      <c r="AG43">
        <v>7.4671716999999997</v>
      </c>
      <c r="AH43">
        <v>3.4569999999999999</v>
      </c>
      <c r="AI43">
        <v>5.5214610000000004</v>
      </c>
    </row>
    <row r="44" spans="1:37" x14ac:dyDescent="0.3">
      <c r="A44" s="1" t="s">
        <v>75</v>
      </c>
      <c r="B44" s="1">
        <v>0</v>
      </c>
      <c r="C44" s="1">
        <v>0.14444445</v>
      </c>
      <c r="D44" s="1">
        <v>0</v>
      </c>
      <c r="E44" s="1">
        <v>1</v>
      </c>
      <c r="F44" s="1">
        <v>0</v>
      </c>
      <c r="G44" s="1">
        <f>_xlfn.IFNA(VLOOKUP($A44,[1]Sheet1!$A$32:$D$42,4,FALSE),0)</f>
        <v>0</v>
      </c>
      <c r="H44" s="1">
        <f>_xlfn.IFNA(VLOOKUP($A44,[1]Sheet1!$A$45:$D$48,4,FALSE),0)</f>
        <v>0</v>
      </c>
      <c r="I44" s="1">
        <f>_xlfn.IFNA(VLOOKUP($A44,[1]Sheet1!$A$49:$D$59,4,FALSE),0)</f>
        <v>0</v>
      </c>
      <c r="J44" s="1">
        <v>1</v>
      </c>
      <c r="K44" s="1">
        <v>0</v>
      </c>
      <c r="L44">
        <v>27</v>
      </c>
      <c r="M44">
        <v>31</v>
      </c>
      <c r="N44">
        <v>34</v>
      </c>
      <c r="O44">
        <v>20</v>
      </c>
      <c r="P44">
        <v>23</v>
      </c>
      <c r="Q44">
        <v>80</v>
      </c>
      <c r="R44">
        <v>92</v>
      </c>
      <c r="S44">
        <v>44</v>
      </c>
      <c r="T44">
        <v>70</v>
      </c>
      <c r="U44">
        <v>4.3999999999999997E-2</v>
      </c>
      <c r="V44">
        <v>0.43178240000000001</v>
      </c>
      <c r="W44">
        <v>1</v>
      </c>
      <c r="X44">
        <v>17.600000000000001</v>
      </c>
      <c r="Y44">
        <v>97.2</v>
      </c>
      <c r="Z44">
        <v>0.6</v>
      </c>
      <c r="AA44">
        <v>0</v>
      </c>
      <c r="AB44">
        <v>111</v>
      </c>
      <c r="AC44">
        <v>-0.79</v>
      </c>
      <c r="AD44">
        <v>0.57982915999999995</v>
      </c>
      <c r="AE44">
        <v>0</v>
      </c>
      <c r="AF44">
        <v>0</v>
      </c>
      <c r="AG44">
        <v>7.7560086000000004</v>
      </c>
      <c r="AH44">
        <v>5.1393895000000001</v>
      </c>
      <c r="AI44">
        <v>5.0955890000000004</v>
      </c>
    </row>
    <row r="45" spans="1:37" x14ac:dyDescent="0.3">
      <c r="A45" s="1" t="s">
        <v>76</v>
      </c>
      <c r="B45" s="1">
        <v>0</v>
      </c>
      <c r="C45" s="1">
        <v>0.45555556000000003</v>
      </c>
      <c r="D45" s="1">
        <v>0</v>
      </c>
      <c r="E45" s="1">
        <v>1</v>
      </c>
      <c r="F45" s="1">
        <v>0</v>
      </c>
      <c r="G45" s="1">
        <f>_xlfn.IFNA(VLOOKUP($A45,[1]Sheet1!$A$32:$D$42,4,FALSE),0)</f>
        <v>0</v>
      </c>
      <c r="H45" s="1">
        <f>_xlfn.IFNA(VLOOKUP($A45,[1]Sheet1!$A$45:$D$48,4,FALSE),0)</f>
        <v>0</v>
      </c>
      <c r="I45" s="1">
        <f>_xlfn.IFNA(VLOOKUP($A45,[1]Sheet1!$A$49:$D$59,4,FALSE),0)</f>
        <v>0</v>
      </c>
      <c r="J45" s="1">
        <v>0</v>
      </c>
      <c r="K45" s="1">
        <v>1</v>
      </c>
      <c r="L45">
        <v>15</v>
      </c>
      <c r="M45">
        <v>19</v>
      </c>
      <c r="N45">
        <v>31</v>
      </c>
      <c r="O45">
        <v>-2</v>
      </c>
      <c r="P45">
        <v>5</v>
      </c>
      <c r="Q45">
        <v>73</v>
      </c>
      <c r="R45">
        <v>81</v>
      </c>
      <c r="S45">
        <v>67</v>
      </c>
      <c r="T45">
        <v>78</v>
      </c>
      <c r="U45">
        <v>0</v>
      </c>
      <c r="V45">
        <v>-0.99425226</v>
      </c>
      <c r="W45">
        <v>0</v>
      </c>
      <c r="X45">
        <v>87.7</v>
      </c>
      <c r="Y45">
        <v>14.2</v>
      </c>
      <c r="Z45">
        <v>83.9</v>
      </c>
      <c r="AA45">
        <v>0</v>
      </c>
      <c r="AC45">
        <v>1.93</v>
      </c>
      <c r="AD45">
        <v>0.15311004</v>
      </c>
      <c r="AE45">
        <v>1</v>
      </c>
      <c r="AF45">
        <v>1</v>
      </c>
      <c r="AG45">
        <v>10.138755</v>
      </c>
      <c r="AH45">
        <v>12.233790000000001</v>
      </c>
      <c r="AI45">
        <v>2.1459312000000001</v>
      </c>
    </row>
    <row r="46" spans="1:37" x14ac:dyDescent="0.3">
      <c r="A46" s="1" t="s">
        <v>77</v>
      </c>
      <c r="B46" s="1">
        <v>0</v>
      </c>
      <c r="C46" s="1">
        <v>0.33333333999999998</v>
      </c>
      <c r="D46" s="1">
        <v>1</v>
      </c>
      <c r="E46" s="1">
        <v>1</v>
      </c>
      <c r="F46" s="1">
        <v>0</v>
      </c>
      <c r="G46" s="1">
        <f>_xlfn.IFNA(VLOOKUP($A46,[1]Sheet1!$A$32:$D$42,4,FALSE),0)</f>
        <v>0</v>
      </c>
      <c r="H46" s="1">
        <f>_xlfn.IFNA(VLOOKUP($A46,[1]Sheet1!$A$45:$D$48,4,FALSE),0)</f>
        <v>0</v>
      </c>
      <c r="I46" s="1">
        <f>_xlfn.IFNA(VLOOKUP($A46,[1]Sheet1!$A$49:$D$59,4,FALSE),0)</f>
        <v>0</v>
      </c>
      <c r="J46" s="1">
        <v>0</v>
      </c>
      <c r="K46" s="1">
        <v>1</v>
      </c>
      <c r="L46">
        <v>22</v>
      </c>
      <c r="M46">
        <v>24</v>
      </c>
      <c r="N46">
        <v>48</v>
      </c>
      <c r="O46">
        <v>-4</v>
      </c>
      <c r="P46">
        <v>17</v>
      </c>
      <c r="Q46">
        <v>19</v>
      </c>
      <c r="R46">
        <v>54</v>
      </c>
      <c r="S46">
        <v>19</v>
      </c>
      <c r="T46">
        <v>54</v>
      </c>
      <c r="U46">
        <v>0.53756999999999999</v>
      </c>
      <c r="V46">
        <v>3.1654751000000001</v>
      </c>
      <c r="W46">
        <v>0</v>
      </c>
      <c r="X46">
        <v>0.6</v>
      </c>
      <c r="Y46">
        <v>0.1</v>
      </c>
      <c r="Z46">
        <v>0.2</v>
      </c>
      <c r="AA46">
        <v>82.1</v>
      </c>
      <c r="AB46">
        <v>110</v>
      </c>
      <c r="AC46">
        <v>-0.89</v>
      </c>
      <c r="AD46">
        <v>0.24549903000000001</v>
      </c>
      <c r="AE46">
        <v>0</v>
      </c>
      <c r="AF46">
        <v>0</v>
      </c>
      <c r="AG46">
        <v>7.6707992999999997</v>
      </c>
      <c r="AH46">
        <v>4.5112220000000001</v>
      </c>
      <c r="AI46">
        <v>3.6106476999999999</v>
      </c>
    </row>
    <row r="47" spans="1:37" x14ac:dyDescent="0.3">
      <c r="A47" s="1" t="s">
        <v>78</v>
      </c>
      <c r="B47" s="1">
        <v>0</v>
      </c>
      <c r="C47" s="1">
        <v>0.1</v>
      </c>
      <c r="D47" s="1">
        <v>0</v>
      </c>
      <c r="E47" s="1">
        <v>1</v>
      </c>
      <c r="F47" s="1">
        <v>0</v>
      </c>
      <c r="G47" s="1">
        <f>_xlfn.IFNA(VLOOKUP($A47,[1]Sheet1!$A$32:$D$42,4,FALSE),0)</f>
        <v>0</v>
      </c>
      <c r="H47" s="1">
        <f>_xlfn.IFNA(VLOOKUP($A47,[1]Sheet1!$A$45:$D$48,4,FALSE),0)</f>
        <v>0</v>
      </c>
      <c r="I47" s="1">
        <f>_xlfn.IFNA(VLOOKUP($A47,[1]Sheet1!$A$49:$D$59,4,FALSE),0)</f>
        <v>0</v>
      </c>
      <c r="J47" s="1">
        <v>1</v>
      </c>
      <c r="K47" s="1">
        <v>0</v>
      </c>
      <c r="L47">
        <v>27</v>
      </c>
      <c r="M47">
        <v>34</v>
      </c>
      <c r="N47">
        <v>36</v>
      </c>
      <c r="O47">
        <v>17</v>
      </c>
      <c r="P47">
        <v>21</v>
      </c>
      <c r="Q47">
        <v>81</v>
      </c>
      <c r="R47">
        <v>91</v>
      </c>
      <c r="S47">
        <v>78</v>
      </c>
      <c r="T47">
        <v>92</v>
      </c>
      <c r="U47">
        <v>8.004E-2</v>
      </c>
      <c r="V47">
        <v>0.43178240000000001</v>
      </c>
      <c r="W47">
        <v>1</v>
      </c>
      <c r="X47">
        <v>7.9</v>
      </c>
      <c r="Y47">
        <v>87</v>
      </c>
      <c r="Z47">
        <v>9.5</v>
      </c>
      <c r="AA47">
        <v>0.5</v>
      </c>
      <c r="AB47">
        <v>78</v>
      </c>
      <c r="AC47">
        <v>-0.15</v>
      </c>
      <c r="AD47">
        <v>1.2889838</v>
      </c>
      <c r="AE47">
        <v>0</v>
      </c>
      <c r="AF47">
        <v>0</v>
      </c>
      <c r="AG47">
        <v>9.1233179999999994</v>
      </c>
      <c r="AH47">
        <v>9.0048779999999997</v>
      </c>
      <c r="AI47">
        <v>5.0955890000000004</v>
      </c>
      <c r="AJ47">
        <v>7.9</v>
      </c>
      <c r="AK47">
        <v>44</v>
      </c>
    </row>
    <row r="48" spans="1:37" x14ac:dyDescent="0.3">
      <c r="A48" s="1" t="s">
        <v>79</v>
      </c>
      <c r="B48" s="1">
        <v>0</v>
      </c>
      <c r="C48" s="1">
        <v>0.11111111</v>
      </c>
      <c r="D48" s="1">
        <v>0</v>
      </c>
      <c r="E48" s="1">
        <v>1</v>
      </c>
      <c r="F48" s="1">
        <v>0</v>
      </c>
      <c r="G48" s="1">
        <f>_xlfn.IFNA(VLOOKUP($A48,[1]Sheet1!$A$32:$D$42,4,FALSE),0)</f>
        <v>0</v>
      </c>
      <c r="H48" s="1">
        <f>_xlfn.IFNA(VLOOKUP($A48,[1]Sheet1!$A$45:$D$48,4,FALSE),0)</f>
        <v>0</v>
      </c>
      <c r="I48" s="1">
        <f>_xlfn.IFNA(VLOOKUP($A48,[1]Sheet1!$A$49:$D$59,4,FALSE),0)</f>
        <v>0</v>
      </c>
      <c r="J48" s="1">
        <v>1</v>
      </c>
      <c r="K48" s="1">
        <v>0</v>
      </c>
      <c r="L48">
        <v>22</v>
      </c>
      <c r="M48">
        <v>26</v>
      </c>
      <c r="N48">
        <v>34</v>
      </c>
      <c r="O48">
        <v>9</v>
      </c>
      <c r="P48">
        <v>16</v>
      </c>
      <c r="Q48">
        <v>92</v>
      </c>
      <c r="R48">
        <v>95</v>
      </c>
      <c r="S48">
        <v>64</v>
      </c>
      <c r="T48">
        <v>80</v>
      </c>
      <c r="U48">
        <v>5.0000000000000001E-4</v>
      </c>
      <c r="V48">
        <v>0.44628709999999999</v>
      </c>
      <c r="W48">
        <v>1</v>
      </c>
      <c r="X48">
        <v>12.5</v>
      </c>
      <c r="Y48">
        <v>94.6</v>
      </c>
      <c r="Z48">
        <v>0</v>
      </c>
      <c r="AA48">
        <v>0</v>
      </c>
      <c r="AB48">
        <v>72</v>
      </c>
      <c r="AC48">
        <v>-0.67</v>
      </c>
      <c r="AD48">
        <v>0.21473888999999999</v>
      </c>
      <c r="AE48">
        <v>0</v>
      </c>
      <c r="AF48">
        <v>0</v>
      </c>
      <c r="AG48">
        <v>8.7620125000000009</v>
      </c>
      <c r="AH48">
        <v>8.1562420000000007</v>
      </c>
      <c r="AI48">
        <v>4.2626799999999996</v>
      </c>
      <c r="AJ48">
        <v>9.5</v>
      </c>
      <c r="AK48">
        <v>30.9</v>
      </c>
    </row>
    <row r="49" spans="1:37" x14ac:dyDescent="0.3">
      <c r="A49" s="1" t="s">
        <v>80</v>
      </c>
      <c r="B49" s="1">
        <v>0</v>
      </c>
      <c r="C49" s="1">
        <v>0.25555557000000001</v>
      </c>
      <c r="D49" s="1">
        <v>0</v>
      </c>
      <c r="E49" s="1">
        <v>1</v>
      </c>
      <c r="F49" s="1">
        <v>0</v>
      </c>
      <c r="G49" s="1">
        <f>_xlfn.IFNA(VLOOKUP($A49,[1]Sheet1!$A$32:$D$42,4,FALSE),0)</f>
        <v>0</v>
      </c>
      <c r="H49" s="1">
        <f>_xlfn.IFNA(VLOOKUP($A49,[1]Sheet1!$A$45:$D$48,4,FALSE),0)</f>
        <v>0</v>
      </c>
      <c r="I49" s="1">
        <f>_xlfn.IFNA(VLOOKUP($A49,[1]Sheet1!$A$49:$D$59,4,FALSE),0)</f>
        <v>0</v>
      </c>
      <c r="J49" s="1">
        <v>1</v>
      </c>
      <c r="K49" s="1">
        <v>0</v>
      </c>
      <c r="L49">
        <v>22</v>
      </c>
      <c r="M49">
        <v>37</v>
      </c>
      <c r="N49">
        <v>43</v>
      </c>
      <c r="O49">
        <v>-2</v>
      </c>
      <c r="P49">
        <v>12</v>
      </c>
      <c r="Q49">
        <v>73</v>
      </c>
      <c r="R49">
        <v>89</v>
      </c>
      <c r="S49">
        <v>48</v>
      </c>
      <c r="T49">
        <v>62</v>
      </c>
      <c r="U49">
        <v>0</v>
      </c>
      <c r="V49">
        <v>-0.68637429999999999</v>
      </c>
      <c r="W49">
        <v>1</v>
      </c>
      <c r="X49">
        <v>20.8</v>
      </c>
      <c r="Y49">
        <v>96.7</v>
      </c>
      <c r="Z49">
        <v>0</v>
      </c>
      <c r="AA49">
        <v>0</v>
      </c>
      <c r="AB49">
        <v>74</v>
      </c>
      <c r="AC49">
        <v>-0.96</v>
      </c>
      <c r="AD49">
        <v>0.65314543000000003</v>
      </c>
      <c r="AE49">
        <v>0</v>
      </c>
      <c r="AF49">
        <v>0</v>
      </c>
      <c r="AG49">
        <v>8.2689330000000005</v>
      </c>
      <c r="AH49">
        <v>6.8723016000000001</v>
      </c>
      <c r="AI49">
        <v>4.3579903</v>
      </c>
      <c r="AJ49">
        <v>19</v>
      </c>
      <c r="AK49">
        <v>61.9</v>
      </c>
    </row>
    <row r="50" spans="1:37" x14ac:dyDescent="0.3">
      <c r="A50" s="1" t="s">
        <v>81</v>
      </c>
      <c r="B50" s="1">
        <v>1</v>
      </c>
      <c r="C50" s="1">
        <v>0.16666666999999999</v>
      </c>
      <c r="D50" s="1">
        <v>0</v>
      </c>
      <c r="E50" s="1">
        <v>1</v>
      </c>
      <c r="F50" s="1">
        <v>0</v>
      </c>
      <c r="G50" s="1">
        <f>_xlfn.IFNA(VLOOKUP($A50,[1]Sheet1!$A$32:$D$42,4,FALSE),0)</f>
        <v>0</v>
      </c>
      <c r="H50" s="1">
        <f>_xlfn.IFNA(VLOOKUP($A50,[1]Sheet1!$A$45:$D$48,4,FALSE),0)</f>
        <v>0</v>
      </c>
      <c r="I50" s="1">
        <f>_xlfn.IFNA(VLOOKUP($A50,[1]Sheet1!$A$49:$D$59,4,FALSE),0)</f>
        <v>0</v>
      </c>
      <c r="J50" s="1">
        <v>0</v>
      </c>
      <c r="K50" s="1">
        <v>1</v>
      </c>
      <c r="L50">
        <v>29</v>
      </c>
      <c r="M50">
        <v>40</v>
      </c>
      <c r="N50">
        <v>48</v>
      </c>
      <c r="O50">
        <v>5</v>
      </c>
      <c r="P50">
        <v>19</v>
      </c>
      <c r="Q50">
        <v>18</v>
      </c>
      <c r="R50">
        <v>67</v>
      </c>
      <c r="S50">
        <v>10</v>
      </c>
      <c r="T50">
        <v>41</v>
      </c>
      <c r="U50">
        <v>0.93100000000000005</v>
      </c>
      <c r="V50">
        <v>2.6411395</v>
      </c>
      <c r="W50">
        <v>0</v>
      </c>
      <c r="X50">
        <v>0.6</v>
      </c>
      <c r="Y50">
        <v>0</v>
      </c>
      <c r="Z50">
        <v>0</v>
      </c>
      <c r="AA50">
        <v>62</v>
      </c>
      <c r="AB50">
        <v>61</v>
      </c>
      <c r="AC50">
        <v>-1.26</v>
      </c>
      <c r="AD50">
        <v>0.14207423999999999</v>
      </c>
      <c r="AE50">
        <v>0</v>
      </c>
      <c r="AF50">
        <v>0</v>
      </c>
      <c r="AG50">
        <v>7.3858438</v>
      </c>
      <c r="AH50">
        <v>2.8175633000000002</v>
      </c>
      <c r="AI50">
        <v>4.4796069999999997</v>
      </c>
      <c r="AJ50">
        <v>0.1</v>
      </c>
      <c r="AK50">
        <v>3.7</v>
      </c>
    </row>
    <row r="51" spans="1:37" x14ac:dyDescent="0.3">
      <c r="A51" s="1" t="s">
        <v>82</v>
      </c>
      <c r="B51" s="1">
        <v>1</v>
      </c>
      <c r="C51" s="1">
        <v>0.15555556000000001</v>
      </c>
      <c r="D51" s="1">
        <v>0</v>
      </c>
      <c r="E51" s="1">
        <v>1</v>
      </c>
      <c r="F51" s="1">
        <v>1</v>
      </c>
      <c r="G51" s="1">
        <f>_xlfn.IFNA(VLOOKUP($A51,[1]Sheet1!$A$32:$D$42,4,FALSE),0)</f>
        <v>0</v>
      </c>
      <c r="H51" s="1">
        <f>_xlfn.IFNA(VLOOKUP($A51,[1]Sheet1!$A$45:$D$48,4,FALSE),0)</f>
        <v>0</v>
      </c>
      <c r="I51" s="1">
        <f>_xlfn.IFNA(VLOOKUP($A51,[1]Sheet1!$A$49:$D$59,4,FALSE),0)</f>
        <v>0</v>
      </c>
      <c r="J51" s="1">
        <v>0</v>
      </c>
      <c r="K51" s="1">
        <v>0</v>
      </c>
      <c r="L51">
        <v>28</v>
      </c>
      <c r="M51">
        <v>35</v>
      </c>
      <c r="N51">
        <v>43</v>
      </c>
      <c r="O51">
        <v>12</v>
      </c>
      <c r="P51">
        <v>21</v>
      </c>
      <c r="Q51">
        <v>70</v>
      </c>
      <c r="R51">
        <v>88</v>
      </c>
      <c r="S51">
        <v>45</v>
      </c>
      <c r="T51">
        <v>74</v>
      </c>
      <c r="U51">
        <v>0.95</v>
      </c>
      <c r="V51">
        <v>1.442202</v>
      </c>
      <c r="W51">
        <v>0</v>
      </c>
      <c r="X51">
        <v>0.6</v>
      </c>
      <c r="Y51">
        <v>1.8</v>
      </c>
      <c r="Z51">
        <v>0</v>
      </c>
      <c r="AA51">
        <v>70</v>
      </c>
      <c r="AB51">
        <v>97</v>
      </c>
      <c r="AC51">
        <v>-0.37</v>
      </c>
      <c r="AD51">
        <v>1.5796340999999998E-2</v>
      </c>
      <c r="AE51">
        <v>0</v>
      </c>
      <c r="AF51">
        <v>0</v>
      </c>
      <c r="AG51">
        <v>7.4234540000000004</v>
      </c>
      <c r="AH51">
        <v>4.0343045999999996</v>
      </c>
      <c r="AI51">
        <v>5.1038829999999997</v>
      </c>
    </row>
    <row r="52" spans="1:37" x14ac:dyDescent="0.3">
      <c r="A52" s="1" t="s">
        <v>83</v>
      </c>
      <c r="B52" s="1">
        <v>0</v>
      </c>
      <c r="C52" s="1">
        <v>1.3555556E-2</v>
      </c>
      <c r="D52" s="1">
        <v>1</v>
      </c>
      <c r="E52" s="1">
        <v>1</v>
      </c>
      <c r="F52" s="1">
        <v>0</v>
      </c>
      <c r="G52" s="1">
        <f>_xlfn.IFNA(VLOOKUP($A52,[1]Sheet1!$A$32:$D$42,4,FALSE),0)</f>
        <v>0</v>
      </c>
      <c r="H52" s="1">
        <f>_xlfn.IFNA(VLOOKUP($A52,[1]Sheet1!$A$45:$D$48,4,FALSE),0)</f>
        <v>0</v>
      </c>
      <c r="I52" s="1">
        <f>_xlfn.IFNA(VLOOKUP($A52,[1]Sheet1!$A$49:$D$59,4,FALSE),0)</f>
        <v>0</v>
      </c>
      <c r="J52" s="1">
        <v>0</v>
      </c>
      <c r="K52" s="1">
        <v>1</v>
      </c>
      <c r="L52">
        <v>28</v>
      </c>
      <c r="M52">
        <v>33</v>
      </c>
      <c r="N52">
        <v>36</v>
      </c>
      <c r="O52">
        <v>19</v>
      </c>
      <c r="P52">
        <v>21</v>
      </c>
      <c r="Q52">
        <v>76</v>
      </c>
      <c r="R52">
        <v>82</v>
      </c>
      <c r="S52">
        <v>70</v>
      </c>
      <c r="T52">
        <v>78</v>
      </c>
      <c r="U52">
        <v>0</v>
      </c>
      <c r="V52">
        <v>-2.437894</v>
      </c>
      <c r="W52">
        <v>0</v>
      </c>
      <c r="X52">
        <v>0.6</v>
      </c>
      <c r="Y52">
        <v>2.2000000000000002</v>
      </c>
      <c r="Z52">
        <v>1.8</v>
      </c>
      <c r="AA52">
        <v>2.2000000000000002</v>
      </c>
      <c r="AB52">
        <v>141</v>
      </c>
      <c r="AC52">
        <v>1.62</v>
      </c>
      <c r="AD52">
        <v>2.1131123999999999</v>
      </c>
      <c r="AE52">
        <v>0</v>
      </c>
      <c r="AF52">
        <v>0</v>
      </c>
      <c r="AG52">
        <v>10.7227</v>
      </c>
      <c r="AH52">
        <v>8.1420239999999993</v>
      </c>
      <c r="AI52">
        <v>2.8735647000000002</v>
      </c>
    </row>
    <row r="53" spans="1:37" x14ac:dyDescent="0.3">
      <c r="A53" s="1" t="s">
        <v>84</v>
      </c>
      <c r="B53" s="1">
        <v>1</v>
      </c>
      <c r="C53" s="1">
        <v>9.2222219999999994E-2</v>
      </c>
      <c r="D53" s="1">
        <v>0</v>
      </c>
      <c r="E53" s="1">
        <v>1</v>
      </c>
      <c r="F53" s="1">
        <v>0</v>
      </c>
      <c r="G53" s="1">
        <f>_xlfn.IFNA(VLOOKUP($A53,[1]Sheet1!$A$32:$D$42,4,FALSE),0)</f>
        <v>0</v>
      </c>
      <c r="H53" s="1">
        <f>_xlfn.IFNA(VLOOKUP($A53,[1]Sheet1!$A$45:$D$48,4,FALSE),0)</f>
        <v>0</v>
      </c>
      <c r="I53" s="1">
        <f>_xlfn.IFNA(VLOOKUP($A53,[1]Sheet1!$A$49:$D$59,4,FALSE),0)</f>
        <v>0</v>
      </c>
      <c r="J53" s="1">
        <v>0</v>
      </c>
      <c r="K53" s="1">
        <v>1</v>
      </c>
      <c r="L53">
        <v>25</v>
      </c>
      <c r="M53">
        <v>31</v>
      </c>
      <c r="N53">
        <v>33</v>
      </c>
      <c r="O53">
        <v>13</v>
      </c>
      <c r="P53">
        <v>20</v>
      </c>
      <c r="Q53">
        <v>73</v>
      </c>
      <c r="R53">
        <v>83</v>
      </c>
      <c r="S53">
        <v>70</v>
      </c>
      <c r="T53">
        <v>79</v>
      </c>
      <c r="U53">
        <v>0.95</v>
      </c>
      <c r="V53">
        <v>1.442202</v>
      </c>
      <c r="W53">
        <v>0</v>
      </c>
      <c r="X53">
        <v>3.1</v>
      </c>
      <c r="Y53">
        <v>0.3</v>
      </c>
      <c r="Z53">
        <v>4.2</v>
      </c>
      <c r="AA53">
        <v>10</v>
      </c>
      <c r="AB53">
        <v>165</v>
      </c>
      <c r="AC53">
        <v>-0.92</v>
      </c>
      <c r="AD53">
        <v>0.70047826000000002</v>
      </c>
      <c r="AE53">
        <v>0</v>
      </c>
      <c r="AF53">
        <v>0</v>
      </c>
      <c r="AG53">
        <v>6.4723277000000001</v>
      </c>
      <c r="AH53">
        <v>2.5744927</v>
      </c>
      <c r="AI53">
        <v>5.5214610000000004</v>
      </c>
    </row>
    <row r="54" spans="1:37" x14ac:dyDescent="0.3">
      <c r="A54" s="1" t="s">
        <v>85</v>
      </c>
      <c r="B54" s="1">
        <v>0</v>
      </c>
      <c r="C54" s="1">
        <v>0.15</v>
      </c>
      <c r="D54" s="1">
        <v>0</v>
      </c>
      <c r="E54" s="1">
        <v>1</v>
      </c>
      <c r="F54" s="1">
        <v>0</v>
      </c>
      <c r="G54" s="1">
        <f>_xlfn.IFNA(VLOOKUP($A54,[1]Sheet1!$A$32:$D$42,4,FALSE),0)</f>
        <v>0</v>
      </c>
      <c r="H54" s="1">
        <f>_xlfn.IFNA(VLOOKUP($A54,[1]Sheet1!$A$45:$D$48,4,FALSE),0)</f>
        <v>0</v>
      </c>
      <c r="I54" s="1">
        <f>_xlfn.IFNA(VLOOKUP($A54,[1]Sheet1!$A$49:$D$59,4,FALSE),0)</f>
        <v>0</v>
      </c>
      <c r="J54" s="1">
        <v>1</v>
      </c>
      <c r="K54" s="1">
        <v>0</v>
      </c>
      <c r="L54">
        <v>9</v>
      </c>
      <c r="M54">
        <v>20</v>
      </c>
      <c r="N54">
        <v>42</v>
      </c>
      <c r="O54">
        <v>-25</v>
      </c>
      <c r="P54">
        <v>8</v>
      </c>
      <c r="Q54">
        <v>71</v>
      </c>
      <c r="R54">
        <v>85</v>
      </c>
      <c r="S54">
        <v>46</v>
      </c>
      <c r="T54">
        <v>76</v>
      </c>
      <c r="U54">
        <v>0</v>
      </c>
      <c r="V54">
        <v>0.43178240000000001</v>
      </c>
      <c r="W54">
        <v>1</v>
      </c>
      <c r="X54">
        <v>15.4</v>
      </c>
      <c r="Y54">
        <v>98</v>
      </c>
      <c r="Z54">
        <v>0</v>
      </c>
      <c r="AA54">
        <v>0</v>
      </c>
      <c r="AB54">
        <v>64</v>
      </c>
      <c r="AC54">
        <v>-0.8</v>
      </c>
      <c r="AD54">
        <v>0.13097576999999999</v>
      </c>
      <c r="AE54">
        <v>0</v>
      </c>
      <c r="AF54">
        <v>0</v>
      </c>
      <c r="AG54">
        <v>8.6486049999999999</v>
      </c>
      <c r="AH54">
        <v>6.6707130000000001</v>
      </c>
      <c r="AI54">
        <v>4.3579903</v>
      </c>
      <c r="AJ54">
        <v>12.7</v>
      </c>
      <c r="AK54">
        <v>23.6</v>
      </c>
    </row>
    <row r="55" spans="1:37" x14ac:dyDescent="0.3">
      <c r="A55" s="1" t="s">
        <v>86</v>
      </c>
      <c r="B55" s="1">
        <v>1</v>
      </c>
      <c r="C55" s="1">
        <v>8.8888889999999998E-2</v>
      </c>
      <c r="D55" s="1">
        <v>0</v>
      </c>
      <c r="E55" s="1">
        <v>1</v>
      </c>
      <c r="F55" s="1">
        <v>1</v>
      </c>
      <c r="G55" s="1">
        <v>0</v>
      </c>
      <c r="H55" s="1">
        <f>_xlfn.IFNA(VLOOKUP($A55,[1]Sheet1!$A$45:$D$48,4,FALSE),0)</f>
        <v>0</v>
      </c>
      <c r="I55" s="1">
        <f>_xlfn.IFNA(VLOOKUP($A55,[1]Sheet1!$A$49:$D$59,4,FALSE),0)</f>
        <v>0</v>
      </c>
      <c r="J55" s="1">
        <v>0</v>
      </c>
      <c r="K55" s="1">
        <v>0</v>
      </c>
      <c r="L55">
        <v>27</v>
      </c>
      <c r="M55">
        <v>32</v>
      </c>
      <c r="N55">
        <v>38</v>
      </c>
      <c r="O55">
        <v>15</v>
      </c>
      <c r="P55">
        <v>21</v>
      </c>
      <c r="Q55">
        <v>95</v>
      </c>
      <c r="R55">
        <v>97</v>
      </c>
      <c r="S55">
        <v>61</v>
      </c>
      <c r="T55">
        <v>77</v>
      </c>
      <c r="U55">
        <v>0.95</v>
      </c>
      <c r="V55">
        <v>1.442202</v>
      </c>
      <c r="W55">
        <v>0</v>
      </c>
      <c r="X55">
        <v>4.4000000000000004</v>
      </c>
      <c r="Y55">
        <v>0.5</v>
      </c>
      <c r="Z55">
        <v>0.3</v>
      </c>
      <c r="AA55">
        <v>4</v>
      </c>
      <c r="AB55">
        <v>113</v>
      </c>
      <c r="AC55">
        <v>-0.89</v>
      </c>
      <c r="AD55">
        <v>8.7116665999999995E-2</v>
      </c>
      <c r="AE55">
        <v>0</v>
      </c>
      <c r="AF55">
        <v>0</v>
      </c>
      <c r="AG55">
        <v>6.7548575</v>
      </c>
      <c r="AH55">
        <v>4.5162186999999996</v>
      </c>
      <c r="AI55">
        <v>5.5214610000000004</v>
      </c>
    </row>
    <row r="56" spans="1:37" x14ac:dyDescent="0.3">
      <c r="A56" s="1" t="s">
        <v>87</v>
      </c>
      <c r="B56" s="1">
        <v>0</v>
      </c>
      <c r="C56" s="1">
        <v>0.12222222000000001</v>
      </c>
      <c r="D56" s="1">
        <v>0</v>
      </c>
      <c r="E56" s="1">
        <v>1</v>
      </c>
      <c r="F56" s="1">
        <v>0</v>
      </c>
      <c r="G56" s="1">
        <f>_xlfn.IFNA(VLOOKUP($A56,[1]Sheet1!$A$32:$D$42,4,FALSE),0)</f>
        <v>0</v>
      </c>
      <c r="H56" s="1">
        <f>_xlfn.IFNA(VLOOKUP($A56,[1]Sheet1!$A$45:$D$48,4,FALSE),0)</f>
        <v>0</v>
      </c>
      <c r="I56" s="1">
        <f>_xlfn.IFNA(VLOOKUP($A56,[1]Sheet1!$A$49:$D$59,4,FALSE),0)</f>
        <v>0</v>
      </c>
      <c r="J56" s="1">
        <v>1</v>
      </c>
      <c r="K56" s="1">
        <v>0</v>
      </c>
      <c r="L56">
        <v>26</v>
      </c>
      <c r="M56">
        <v>35</v>
      </c>
      <c r="N56">
        <v>38</v>
      </c>
      <c r="O56">
        <v>11</v>
      </c>
      <c r="P56">
        <v>16</v>
      </c>
      <c r="Q56">
        <v>83</v>
      </c>
      <c r="R56">
        <v>89</v>
      </c>
      <c r="S56">
        <v>61</v>
      </c>
      <c r="T56">
        <v>76</v>
      </c>
      <c r="U56">
        <v>0</v>
      </c>
      <c r="V56">
        <v>0.37843648000000002</v>
      </c>
      <c r="W56">
        <v>1</v>
      </c>
      <c r="X56">
        <v>51.7</v>
      </c>
      <c r="Y56">
        <v>32.6</v>
      </c>
      <c r="Z56">
        <v>38.1</v>
      </c>
      <c r="AA56">
        <v>3.8</v>
      </c>
      <c r="AB56">
        <v>177</v>
      </c>
      <c r="AC56">
        <v>-0.23</v>
      </c>
      <c r="AD56">
        <v>1.1478138</v>
      </c>
      <c r="AE56">
        <v>0</v>
      </c>
      <c r="AF56">
        <v>0</v>
      </c>
      <c r="AG56">
        <v>9.9063949999999998</v>
      </c>
      <c r="AH56">
        <v>8.812182</v>
      </c>
      <c r="AI56">
        <v>4.4426512999999996</v>
      </c>
    </row>
    <row r="57" spans="1:37" x14ac:dyDescent="0.3">
      <c r="A57" s="1" t="s">
        <v>88</v>
      </c>
      <c r="B57" s="1">
        <v>1</v>
      </c>
      <c r="C57" s="1">
        <v>0.37777779</v>
      </c>
      <c r="D57" s="1">
        <v>0</v>
      </c>
      <c r="E57" s="1">
        <v>1</v>
      </c>
      <c r="F57" s="1">
        <v>1</v>
      </c>
      <c r="G57" s="1">
        <f>_xlfn.IFNA(VLOOKUP($A57,[1]Sheet1!$A$32:$D$42,4,FALSE),0)</f>
        <v>0</v>
      </c>
      <c r="H57" s="1">
        <f>_xlfn.IFNA(VLOOKUP($A57,[1]Sheet1!$A$45:$D$48,4,FALSE),0)</f>
        <v>0</v>
      </c>
      <c r="I57" s="1">
        <f>_xlfn.IFNA(VLOOKUP($A57,[1]Sheet1!$A$49:$D$59,4,FALSE),0)</f>
        <v>0</v>
      </c>
      <c r="J57" s="1">
        <v>0</v>
      </c>
      <c r="K57" s="1">
        <v>0</v>
      </c>
      <c r="L57">
        <v>24</v>
      </c>
      <c r="M57">
        <v>25</v>
      </c>
      <c r="N57">
        <v>48</v>
      </c>
      <c r="O57">
        <v>-1</v>
      </c>
      <c r="P57">
        <v>11</v>
      </c>
      <c r="Q57">
        <v>72</v>
      </c>
      <c r="R57">
        <v>86</v>
      </c>
      <c r="S57">
        <v>40</v>
      </c>
      <c r="T57">
        <v>64</v>
      </c>
      <c r="U57">
        <v>0</v>
      </c>
      <c r="V57">
        <v>2.4598472</v>
      </c>
      <c r="W57">
        <v>0</v>
      </c>
      <c r="X57">
        <v>3.8</v>
      </c>
      <c r="Y57">
        <v>7.4</v>
      </c>
      <c r="Z57">
        <v>0</v>
      </c>
      <c r="AA57">
        <v>87.5</v>
      </c>
      <c r="AB57">
        <v>78</v>
      </c>
      <c r="AC57">
        <v>0.19</v>
      </c>
      <c r="AD57">
        <v>0.16705726000000001</v>
      </c>
      <c r="AE57">
        <v>0</v>
      </c>
      <c r="AF57">
        <v>0</v>
      </c>
      <c r="AG57">
        <v>8.8793839999999999</v>
      </c>
      <c r="AH57">
        <v>5.6465389999999998</v>
      </c>
      <c r="AI57">
        <v>4.1431345999999998</v>
      </c>
      <c r="AJ57">
        <v>3.8</v>
      </c>
      <c r="AK57">
        <v>13.3</v>
      </c>
    </row>
    <row r="58" spans="1:37" x14ac:dyDescent="0.3">
      <c r="A58" s="1" t="s">
        <v>89</v>
      </c>
      <c r="B58" s="1">
        <v>1</v>
      </c>
      <c r="C58" s="1">
        <v>6.6666669999999997E-2</v>
      </c>
      <c r="D58" s="1">
        <v>0</v>
      </c>
      <c r="E58" s="1">
        <v>1</v>
      </c>
      <c r="F58" s="1">
        <v>0</v>
      </c>
      <c r="G58" s="1">
        <f>_xlfn.IFNA(VLOOKUP($A58,[1]Sheet1!$A$32:$D$42,4,FALSE),0)</f>
        <v>1</v>
      </c>
      <c r="H58" s="1">
        <f>_xlfn.IFNA(VLOOKUP($A58,[1]Sheet1!$A$45:$D$48,4,FALSE),0)</f>
        <v>0</v>
      </c>
      <c r="I58" s="1">
        <f>_xlfn.IFNA(VLOOKUP($A58,[1]Sheet1!$A$49:$D$59,4,FALSE),0)</f>
        <v>0</v>
      </c>
      <c r="J58" s="1">
        <v>0</v>
      </c>
      <c r="K58" s="1">
        <v>0</v>
      </c>
      <c r="L58">
        <v>22</v>
      </c>
      <c r="M58">
        <v>31</v>
      </c>
      <c r="N58">
        <v>36</v>
      </c>
      <c r="O58">
        <v>8</v>
      </c>
      <c r="P58">
        <v>16</v>
      </c>
      <c r="Q58">
        <v>70</v>
      </c>
      <c r="R58">
        <v>84</v>
      </c>
      <c r="S58">
        <v>36</v>
      </c>
      <c r="T58">
        <v>56</v>
      </c>
      <c r="U58">
        <v>0.92149999999999999</v>
      </c>
      <c r="V58">
        <v>0.68337789999999998</v>
      </c>
      <c r="W58">
        <v>0</v>
      </c>
      <c r="X58">
        <v>10.7</v>
      </c>
      <c r="Y58">
        <v>1.8</v>
      </c>
      <c r="Z58">
        <v>0.6</v>
      </c>
      <c r="AA58">
        <v>7</v>
      </c>
      <c r="AB58">
        <v>96</v>
      </c>
      <c r="AC58">
        <v>-0.51</v>
      </c>
      <c r="AD58">
        <v>0.4419825</v>
      </c>
      <c r="AE58">
        <v>0</v>
      </c>
      <c r="AF58">
        <v>0</v>
      </c>
      <c r="AG58">
        <v>6.9703309999999998</v>
      </c>
      <c r="AH58">
        <v>4.7617929999999999</v>
      </c>
      <c r="AI58">
        <v>5.5214610000000004</v>
      </c>
    </row>
    <row r="59" spans="1:37" x14ac:dyDescent="0.3">
      <c r="A59" s="1" t="s">
        <v>90</v>
      </c>
      <c r="B59" s="1">
        <v>1</v>
      </c>
      <c r="C59" s="1">
        <v>1.1111111E-2</v>
      </c>
      <c r="D59" s="1">
        <v>0</v>
      </c>
      <c r="E59" s="1">
        <v>1</v>
      </c>
      <c r="F59" s="1">
        <v>0</v>
      </c>
      <c r="G59" s="1">
        <f>_xlfn.IFNA(VLOOKUP($A59,[1]Sheet1!$A$32:$D$42,4,FALSE),0)</f>
        <v>0</v>
      </c>
      <c r="H59" s="1">
        <f>_xlfn.IFNA(VLOOKUP($A59,[1]Sheet1!$A$45:$D$48,4,FALSE),0)</f>
        <v>0</v>
      </c>
      <c r="I59" s="1">
        <f>_xlfn.IFNA(VLOOKUP($A59,[1]Sheet1!$A$49:$D$59,4,FALSE),0)</f>
        <v>0</v>
      </c>
      <c r="J59" s="1">
        <v>0</v>
      </c>
      <c r="K59" s="1">
        <v>1</v>
      </c>
      <c r="L59">
        <v>24</v>
      </c>
      <c r="M59">
        <v>29</v>
      </c>
      <c r="N59">
        <v>36</v>
      </c>
      <c r="O59">
        <v>12</v>
      </c>
      <c r="P59">
        <v>15</v>
      </c>
      <c r="Q59">
        <v>78</v>
      </c>
      <c r="R59">
        <v>89</v>
      </c>
      <c r="S59">
        <v>54</v>
      </c>
      <c r="T59">
        <v>72</v>
      </c>
      <c r="U59">
        <v>0.95</v>
      </c>
      <c r="V59">
        <v>2.0166545</v>
      </c>
      <c r="W59">
        <v>0</v>
      </c>
      <c r="X59">
        <v>0.6</v>
      </c>
      <c r="Y59">
        <v>3.8</v>
      </c>
      <c r="Z59">
        <v>0</v>
      </c>
      <c r="AA59">
        <v>2</v>
      </c>
      <c r="AB59">
        <v>83</v>
      </c>
      <c r="AC59">
        <v>-0.43</v>
      </c>
      <c r="AD59">
        <v>0.35172369999999997</v>
      </c>
      <c r="AE59">
        <v>0</v>
      </c>
      <c r="AF59">
        <v>0</v>
      </c>
      <c r="AG59">
        <v>6.8146323999999998</v>
      </c>
      <c r="AH59">
        <v>4.2855905999999999</v>
      </c>
      <c r="AI59">
        <v>5.5214610000000004</v>
      </c>
      <c r="AJ59">
        <v>0.1</v>
      </c>
      <c r="AK59">
        <v>29.9</v>
      </c>
    </row>
    <row r="60" spans="1:37" x14ac:dyDescent="0.3">
      <c r="A60" s="1" t="s">
        <v>91</v>
      </c>
      <c r="B60" s="1">
        <v>0</v>
      </c>
      <c r="C60" s="1">
        <v>0.36666666999999997</v>
      </c>
      <c r="D60" s="1">
        <v>0</v>
      </c>
      <c r="E60" s="1">
        <v>1</v>
      </c>
      <c r="F60" s="1">
        <v>0</v>
      </c>
      <c r="G60" s="1">
        <f>_xlfn.IFNA(VLOOKUP($A60,[1]Sheet1!$A$32:$D$42,4,FALSE),0)</f>
        <v>0</v>
      </c>
      <c r="H60" s="1">
        <f>_xlfn.IFNA(VLOOKUP($A60,[1]Sheet1!$A$45:$D$48,4,FALSE),0)</f>
        <v>0</v>
      </c>
      <c r="I60" s="1">
        <f>_xlfn.IFNA(VLOOKUP($A60,[1]Sheet1!$A$49:$D$59,4,FALSE),0)</f>
        <v>0</v>
      </c>
      <c r="J60" s="1">
        <v>1</v>
      </c>
      <c r="K60" s="1">
        <v>0</v>
      </c>
      <c r="L60">
        <v>20</v>
      </c>
      <c r="M60">
        <v>26</v>
      </c>
      <c r="N60">
        <v>43</v>
      </c>
      <c r="O60">
        <v>-4</v>
      </c>
      <c r="P60">
        <v>8</v>
      </c>
      <c r="Q60">
        <v>73</v>
      </c>
      <c r="R60">
        <v>89</v>
      </c>
      <c r="S60">
        <v>52</v>
      </c>
      <c r="T60">
        <v>69</v>
      </c>
      <c r="U60">
        <v>0</v>
      </c>
      <c r="V60">
        <v>-2.2107220000000001</v>
      </c>
      <c r="W60">
        <v>1</v>
      </c>
      <c r="X60">
        <v>28.3</v>
      </c>
      <c r="Y60">
        <v>61.2</v>
      </c>
      <c r="Z60">
        <v>1.6</v>
      </c>
      <c r="AA60">
        <v>0</v>
      </c>
      <c r="AB60">
        <v>82</v>
      </c>
      <c r="AC60">
        <v>0.71</v>
      </c>
      <c r="AD60">
        <v>0.36430570000000001</v>
      </c>
      <c r="AE60">
        <v>0</v>
      </c>
      <c r="AF60">
        <v>0</v>
      </c>
      <c r="AG60">
        <v>9.1781050000000004</v>
      </c>
      <c r="AH60">
        <v>7.9189970000000001</v>
      </c>
      <c r="AI60">
        <v>4.2626799999999996</v>
      </c>
      <c r="AJ60">
        <v>31.5</v>
      </c>
      <c r="AK60">
        <v>44.6</v>
      </c>
    </row>
    <row r="61" spans="1:37" x14ac:dyDescent="0.3">
      <c r="A61" s="1" t="s">
        <v>92</v>
      </c>
      <c r="B61" s="1">
        <v>0</v>
      </c>
      <c r="C61" s="1">
        <v>0.42222222999999998</v>
      </c>
      <c r="D61" s="1">
        <v>0</v>
      </c>
      <c r="E61" s="1">
        <v>1</v>
      </c>
      <c r="F61" s="1">
        <v>0</v>
      </c>
      <c r="G61" s="1">
        <f>_xlfn.IFNA(VLOOKUP($A61,[1]Sheet1!$A$32:$D$42,4,FALSE),0)</f>
        <v>0</v>
      </c>
      <c r="H61" s="1">
        <f>_xlfn.IFNA(VLOOKUP($A61,[1]Sheet1!$A$45:$D$48,4,FALSE),0)</f>
        <v>0</v>
      </c>
      <c r="I61" s="1">
        <f>_xlfn.IFNA(VLOOKUP($A61,[1]Sheet1!$A$49:$D$59,4,FALSE),0)</f>
        <v>0</v>
      </c>
      <c r="J61" s="1">
        <v>0</v>
      </c>
      <c r="K61" s="1">
        <v>1</v>
      </c>
      <c r="L61">
        <v>27</v>
      </c>
      <c r="M61">
        <v>32</v>
      </c>
      <c r="N61">
        <v>37</v>
      </c>
      <c r="O61">
        <v>15</v>
      </c>
      <c r="P61">
        <v>21</v>
      </c>
      <c r="Q61">
        <v>62</v>
      </c>
      <c r="R61">
        <v>70</v>
      </c>
      <c r="S61">
        <v>59</v>
      </c>
      <c r="T61">
        <v>68</v>
      </c>
      <c r="U61">
        <v>0</v>
      </c>
      <c r="V61">
        <v>-2.4378936000000002</v>
      </c>
      <c r="W61">
        <v>1</v>
      </c>
      <c r="X61">
        <v>95</v>
      </c>
      <c r="Y61">
        <v>17.100000000000001</v>
      </c>
      <c r="Z61">
        <v>69.400000000000006</v>
      </c>
      <c r="AA61">
        <v>0</v>
      </c>
      <c r="AC61">
        <v>1.55</v>
      </c>
      <c r="AD61">
        <v>1.8648872E-2</v>
      </c>
      <c r="AE61">
        <v>1</v>
      </c>
      <c r="AF61">
        <v>1</v>
      </c>
      <c r="AG61">
        <v>10.65887</v>
      </c>
      <c r="AH61">
        <v>13.190048000000001</v>
      </c>
      <c r="AI61">
        <v>2.7080503</v>
      </c>
    </row>
    <row r="62" spans="1:37" x14ac:dyDescent="0.3">
      <c r="A62" s="1" t="s">
        <v>93</v>
      </c>
      <c r="B62" s="1">
        <v>0</v>
      </c>
      <c r="C62" s="1">
        <v>8.8888889999999998E-2</v>
      </c>
      <c r="D62" s="1">
        <v>0</v>
      </c>
      <c r="E62" s="1">
        <v>1</v>
      </c>
      <c r="F62" s="1">
        <v>0</v>
      </c>
      <c r="G62" s="1">
        <f>_xlfn.IFNA(VLOOKUP($A62,[1]Sheet1!$A$32:$D$42,4,FALSE),0)</f>
        <v>0</v>
      </c>
      <c r="H62" s="1">
        <f>_xlfn.IFNA(VLOOKUP($A62,[1]Sheet1!$A$45:$D$48,4,FALSE),0)</f>
        <v>0</v>
      </c>
      <c r="I62" s="1">
        <f>_xlfn.IFNA(VLOOKUP($A62,[1]Sheet1!$A$49:$D$59,4,FALSE),0)</f>
        <v>0</v>
      </c>
      <c r="J62" s="1">
        <v>1</v>
      </c>
      <c r="K62" s="1">
        <v>0</v>
      </c>
      <c r="L62">
        <v>20</v>
      </c>
      <c r="M62">
        <v>28</v>
      </c>
      <c r="N62">
        <v>33</v>
      </c>
      <c r="O62">
        <v>7</v>
      </c>
      <c r="P62">
        <v>12</v>
      </c>
      <c r="Q62">
        <v>78</v>
      </c>
      <c r="R62">
        <v>84</v>
      </c>
      <c r="S62">
        <v>60</v>
      </c>
      <c r="T62">
        <v>63</v>
      </c>
      <c r="U62">
        <v>7.0400000000000003E-3</v>
      </c>
      <c r="V62">
        <v>-0.82098055000000003</v>
      </c>
      <c r="W62">
        <v>1</v>
      </c>
      <c r="X62">
        <v>3.7</v>
      </c>
      <c r="Y62">
        <v>92.9</v>
      </c>
      <c r="Z62">
        <v>0.1</v>
      </c>
      <c r="AA62">
        <v>0</v>
      </c>
      <c r="AB62">
        <v>77</v>
      </c>
      <c r="AC62">
        <v>-1.59</v>
      </c>
      <c r="AD62">
        <v>0.43533206000000002</v>
      </c>
      <c r="AE62">
        <v>0</v>
      </c>
      <c r="AF62">
        <v>0</v>
      </c>
      <c r="AG62">
        <v>9.2027579999999993</v>
      </c>
      <c r="AH62">
        <v>5.8002048000000004</v>
      </c>
      <c r="AI62">
        <v>4.3579903</v>
      </c>
      <c r="AJ62">
        <v>1.6</v>
      </c>
      <c r="AK62">
        <v>26.7</v>
      </c>
    </row>
    <row r="63" spans="1:37" x14ac:dyDescent="0.3">
      <c r="A63" s="1" t="s">
        <v>94</v>
      </c>
      <c r="B63" s="1">
        <v>0</v>
      </c>
      <c r="C63" s="1">
        <v>0.17777778</v>
      </c>
      <c r="D63" s="1">
        <v>1</v>
      </c>
      <c r="E63" s="1">
        <v>1</v>
      </c>
      <c r="F63" s="1">
        <v>1</v>
      </c>
      <c r="G63" s="1">
        <f>_xlfn.IFNA(VLOOKUP($A63,[1]Sheet1!$A$32:$D$42,4,FALSE),0)</f>
        <v>0</v>
      </c>
      <c r="H63" s="1">
        <f>_xlfn.IFNA(VLOOKUP($A63,[1]Sheet1!$A$45:$D$48,4,FALSE),0)</f>
        <v>0</v>
      </c>
      <c r="I63" s="1">
        <f>_xlfn.IFNA(VLOOKUP($A63,[1]Sheet1!$A$49:$D$59,4,FALSE),0)</f>
        <v>0</v>
      </c>
      <c r="J63" s="1">
        <v>0</v>
      </c>
      <c r="K63" s="1">
        <v>0</v>
      </c>
      <c r="L63">
        <v>25</v>
      </c>
      <c r="M63">
        <v>33</v>
      </c>
      <c r="N63">
        <v>43</v>
      </c>
      <c r="O63">
        <v>6</v>
      </c>
      <c r="P63">
        <v>22</v>
      </c>
      <c r="Q63">
        <v>74</v>
      </c>
      <c r="R63">
        <v>83</v>
      </c>
      <c r="S63">
        <v>67</v>
      </c>
      <c r="T63">
        <v>76</v>
      </c>
      <c r="U63">
        <v>0.70109999999999995</v>
      </c>
      <c r="V63">
        <v>1.8155707000000001</v>
      </c>
      <c r="W63">
        <v>0</v>
      </c>
      <c r="X63">
        <v>0.5</v>
      </c>
      <c r="Y63">
        <v>5.5</v>
      </c>
      <c r="Z63">
        <v>0</v>
      </c>
      <c r="AA63">
        <v>0.7</v>
      </c>
      <c r="AB63">
        <v>49</v>
      </c>
      <c r="AC63">
        <v>-0.45</v>
      </c>
      <c r="AD63">
        <v>1.2680752999999999E-2</v>
      </c>
      <c r="AE63">
        <v>0</v>
      </c>
      <c r="AF63">
        <v>0</v>
      </c>
      <c r="AG63">
        <v>7.6784524999999997</v>
      </c>
      <c r="AH63">
        <v>4.928604</v>
      </c>
      <c r="AI63">
        <v>4.9416422999999998</v>
      </c>
      <c r="AJ63">
        <v>0.1</v>
      </c>
      <c r="AK63">
        <v>10.8</v>
      </c>
    </row>
    <row r="64" spans="1:37" x14ac:dyDescent="0.3">
      <c r="A64" s="1" t="s">
        <v>95</v>
      </c>
      <c r="B64" s="1">
        <v>1</v>
      </c>
      <c r="C64" s="1">
        <v>0.32222223</v>
      </c>
      <c r="D64" s="1">
        <v>0</v>
      </c>
      <c r="E64" s="1">
        <v>1</v>
      </c>
      <c r="F64" s="1">
        <v>0</v>
      </c>
      <c r="G64" s="1">
        <f>_xlfn.IFNA(VLOOKUP($A64,[1]Sheet1!$A$32:$D$42,4,FALSE),0)</f>
        <v>0</v>
      </c>
      <c r="H64" s="1">
        <v>0</v>
      </c>
      <c r="I64" s="1">
        <f>_xlfn.IFNA(VLOOKUP($A64,[1]Sheet1!$A$49:$D$59,4,FALSE),0)</f>
        <v>0</v>
      </c>
      <c r="J64" s="1">
        <v>0</v>
      </c>
      <c r="K64" s="1">
        <v>1</v>
      </c>
      <c r="L64">
        <v>19</v>
      </c>
      <c r="M64">
        <v>29</v>
      </c>
      <c r="N64">
        <v>39</v>
      </c>
      <c r="O64">
        <v>-2</v>
      </c>
      <c r="P64">
        <v>7</v>
      </c>
      <c r="Q64">
        <v>71</v>
      </c>
      <c r="R64">
        <v>91</v>
      </c>
      <c r="S64">
        <v>54</v>
      </c>
      <c r="T64">
        <v>67</v>
      </c>
      <c r="U64">
        <v>0.104499996</v>
      </c>
      <c r="V64">
        <v>-0.71052859999999995</v>
      </c>
      <c r="W64">
        <v>0</v>
      </c>
      <c r="X64">
        <v>14.8</v>
      </c>
      <c r="Y64">
        <v>1.4</v>
      </c>
      <c r="Z64">
        <v>38.799999999999997</v>
      </c>
      <c r="AA64">
        <v>0.6</v>
      </c>
      <c r="AB64">
        <v>223</v>
      </c>
      <c r="AC64">
        <v>0.09</v>
      </c>
      <c r="AD64">
        <v>2.5243267999999999</v>
      </c>
      <c r="AE64">
        <v>0</v>
      </c>
      <c r="AF64">
        <v>0</v>
      </c>
      <c r="AG64">
        <v>9.0591489999999997</v>
      </c>
      <c r="AH64">
        <v>7.7435580000000002</v>
      </c>
      <c r="AI64">
        <v>2.7408399999999999</v>
      </c>
    </row>
    <row r="65" spans="1:37" x14ac:dyDescent="0.3">
      <c r="A65" s="1" t="s">
        <v>96</v>
      </c>
      <c r="B65" s="1">
        <v>1</v>
      </c>
      <c r="C65" s="1">
        <v>0</v>
      </c>
      <c r="D65" s="1">
        <v>0</v>
      </c>
      <c r="E65" s="1">
        <v>1</v>
      </c>
      <c r="F65" s="1">
        <v>0</v>
      </c>
      <c r="G65" s="1">
        <f>_xlfn.IFNA(VLOOKUP($A65,[1]Sheet1!$A$32:$D$42,4,FALSE),0)</f>
        <v>0</v>
      </c>
      <c r="H65" s="1">
        <f>_xlfn.IFNA(VLOOKUP($A65,[1]Sheet1!$A$45:$D$48,4,FALSE),0)</f>
        <v>0</v>
      </c>
      <c r="I65" s="1">
        <f>_xlfn.IFNA(VLOOKUP($A65,[1]Sheet1!$A$49:$D$59,4,FALSE),0)</f>
        <v>0</v>
      </c>
      <c r="J65" s="1">
        <v>0</v>
      </c>
      <c r="K65" s="1">
        <v>0</v>
      </c>
      <c r="L65">
        <v>25</v>
      </c>
      <c r="M65">
        <v>32</v>
      </c>
      <c r="N65">
        <v>36</v>
      </c>
      <c r="O65">
        <v>14</v>
      </c>
      <c r="P65">
        <v>19</v>
      </c>
      <c r="Q65">
        <v>88</v>
      </c>
      <c r="R65">
        <v>95</v>
      </c>
      <c r="S65">
        <v>61</v>
      </c>
      <c r="T65">
        <v>73</v>
      </c>
      <c r="U65">
        <v>0.95</v>
      </c>
      <c r="V65">
        <v>0.40546510000000002</v>
      </c>
      <c r="W65">
        <v>0</v>
      </c>
      <c r="X65">
        <v>3</v>
      </c>
      <c r="Y65">
        <v>0.8</v>
      </c>
      <c r="Z65">
        <v>0.6</v>
      </c>
      <c r="AA65">
        <v>0.5</v>
      </c>
      <c r="AB65">
        <v>82</v>
      </c>
      <c r="AC65">
        <v>-1.63</v>
      </c>
      <c r="AD65">
        <v>1.04434</v>
      </c>
      <c r="AE65">
        <v>0</v>
      </c>
      <c r="AF65">
        <v>0</v>
      </c>
      <c r="AG65">
        <v>5.5671759999999999</v>
      </c>
      <c r="AH65">
        <v>3.01</v>
      </c>
      <c r="AI65">
        <v>5.480639</v>
      </c>
      <c r="AJ65">
        <v>0.1</v>
      </c>
      <c r="AK65">
        <v>8.5</v>
      </c>
    </row>
    <row r="66" spans="1:37" x14ac:dyDescent="0.3">
      <c r="F66" s="1">
        <f t="shared" ref="F66:K66" si="0">SUM(F2:F65)</f>
        <v>15</v>
      </c>
      <c r="G66" s="1">
        <f t="shared" si="0"/>
        <v>2</v>
      </c>
      <c r="H66" s="1">
        <f t="shared" si="0"/>
        <v>1</v>
      </c>
      <c r="I66" s="1">
        <f t="shared" si="0"/>
        <v>2</v>
      </c>
      <c r="J66" s="1">
        <f t="shared" si="0"/>
        <v>18</v>
      </c>
      <c r="K66" s="1">
        <f t="shared" si="0"/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xcountry_data_full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Berthet</dc:creator>
  <cp:lastModifiedBy>Etienne Berthet</cp:lastModifiedBy>
  <dcterms:created xsi:type="dcterms:W3CDTF">2025-09-10T23:09:33Z</dcterms:created>
  <dcterms:modified xsi:type="dcterms:W3CDTF">2025-09-10T23:09:33Z</dcterms:modified>
</cp:coreProperties>
</file>