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1c3256d208fb6548/Personlig/Aske Banke Consultancy/YALE/Metodeartikel_WorldDevelopmentJournal/WorldDevelopmentArticleGit/"/>
    </mc:Choice>
  </mc:AlternateContent>
  <xr:revisionPtr revIDLastSave="741" documentId="8_{9856C943-DD01-465B-AD17-0E409E296684}" xr6:coauthVersionLast="47" xr6:coauthVersionMax="47" xr10:uidLastSave="{BC687424-937E-4C92-895A-E846DA2EB505}"/>
  <bookViews>
    <workbookView xWindow="-120" yWindow="-120" windowWidth="29040" windowHeight="15720" activeTab="5" xr2:uid="{726B2859-724A-4801-8E74-5A4E1AFAB973}"/>
  </bookViews>
  <sheets>
    <sheet name="Unscaled Experiments" sheetId="2" r:id="rId1"/>
    <sheet name="Scaled Experiments" sheetId="5" r:id="rId2"/>
    <sheet name="Experiments" sheetId="3" r:id="rId3"/>
    <sheet name="Overview of indicators and DLS" sheetId="1" r:id="rId4"/>
    <sheet name="Sheet1" sheetId="6" r:id="rId5"/>
    <sheet name="New table in report" sheetId="7" r:id="rId6"/>
    <sheet name="Old table in report" sheetId="8" r:id="rId7"/>
  </sheets>
  <externalReferences>
    <externalReference r:id="rId8"/>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 i="6" l="1" a="1"/>
  <c r="P5" i="6" s="1"/>
  <c r="C4" i="5" a="1"/>
  <c r="C4" i="5" s="1"/>
  <c r="B22" i="5" s="1" a="1"/>
  <c r="B22" i="5" s="1"/>
  <c r="S5" i="5" a="1"/>
  <c r="S5" i="5" s="1"/>
  <c r="S17" i="5" s="1"/>
  <c r="S6" i="5" a="1"/>
  <c r="S6" i="5" s="1"/>
  <c r="S7" i="5" a="1"/>
  <c r="S7" i="5" s="1"/>
  <c r="S8" i="5" a="1"/>
  <c r="S8" i="5" s="1"/>
  <c r="S9" i="5" a="1"/>
  <c r="S9" i="5" s="1"/>
  <c r="S10" i="5" a="1"/>
  <c r="S10" i="5" s="1"/>
  <c r="S11" i="5" a="1"/>
  <c r="S11" i="5" s="1"/>
  <c r="S12" i="5" a="1"/>
  <c r="S12" i="5" s="1"/>
  <c r="S13" i="5" a="1"/>
  <c r="S13" i="5" s="1"/>
  <c r="S14" i="5" a="1"/>
  <c r="S14" i="5" s="1"/>
  <c r="S15" i="5" a="1"/>
  <c r="S15" i="5" s="1"/>
  <c r="S18" i="5"/>
  <c r="S19" i="5"/>
  <c r="R5" i="5" a="1"/>
  <c r="R5" i="5" s="1"/>
  <c r="R6" i="5" a="1"/>
  <c r="R6" i="5" s="1"/>
  <c r="R7" i="5" a="1"/>
  <c r="R7" i="5" s="1"/>
  <c r="R8" i="5" a="1"/>
  <c r="R8" i="5" s="1"/>
  <c r="R9" i="5" a="1"/>
  <c r="R9" i="5" s="1"/>
  <c r="R10" i="5" a="1"/>
  <c r="R10" i="5" s="1"/>
  <c r="R11" i="5" a="1"/>
  <c r="R11" i="5" s="1"/>
  <c r="R12" i="5" a="1"/>
  <c r="R12" i="5" s="1"/>
  <c r="R13" i="5" a="1"/>
  <c r="R13" i="5" s="1"/>
  <c r="R14" i="5" a="1"/>
  <c r="R14" i="5" s="1"/>
  <c r="R15" i="5" a="1"/>
  <c r="R15" i="5" s="1"/>
  <c r="R18" i="5"/>
  <c r="R19" i="5"/>
  <c r="Q19" i="5"/>
  <c r="P19" i="5"/>
  <c r="O19" i="5"/>
  <c r="N19" i="5"/>
  <c r="M19" i="5"/>
  <c r="L19" i="5"/>
  <c r="K19" i="5"/>
  <c r="J19" i="5"/>
  <c r="I19" i="5"/>
  <c r="H19" i="5"/>
  <c r="G19" i="5"/>
  <c r="F19" i="5"/>
  <c r="E19" i="5"/>
  <c r="D19" i="5"/>
  <c r="C19" i="5"/>
  <c r="Q18" i="5"/>
  <c r="P18" i="5"/>
  <c r="O18" i="5"/>
  <c r="N18" i="5"/>
  <c r="M18" i="5"/>
  <c r="L18" i="5"/>
  <c r="K18" i="5"/>
  <c r="J18" i="5"/>
  <c r="I18" i="5"/>
  <c r="H18" i="5"/>
  <c r="G18" i="5"/>
  <c r="F18" i="5"/>
  <c r="E18" i="5"/>
  <c r="D18" i="5"/>
  <c r="C18" i="5"/>
  <c r="B5" i="5" a="1"/>
  <c r="K15" i="5" s="1" a="1"/>
  <c r="K15" i="5" s="1"/>
  <c r="Q5" i="2" a="1"/>
  <c r="Q5" i="2" s="1"/>
  <c r="Q6" i="2" a="1"/>
  <c r="Q6" i="2" s="1"/>
  <c r="Q7" i="2" a="1"/>
  <c r="Q7" i="2" s="1"/>
  <c r="Q8" i="2" a="1"/>
  <c r="Q8" i="2" s="1"/>
  <c r="Q9" i="2" a="1"/>
  <c r="Q9" i="2" s="1"/>
  <c r="Q10" i="2" a="1"/>
  <c r="Q10" i="2" s="1"/>
  <c r="Q11" i="2" a="1"/>
  <c r="Q11" i="2" s="1"/>
  <c r="Q12" i="2" a="1"/>
  <c r="Q12" i="2" s="1"/>
  <c r="Q13" i="2" a="1"/>
  <c r="Q13" i="2" s="1"/>
  <c r="Q14" i="2" a="1"/>
  <c r="Q14" i="2" s="1"/>
  <c r="Q15" i="2" a="1"/>
  <c r="Q15" i="2" s="1"/>
  <c r="Q18" i="2"/>
  <c r="Q19" i="2"/>
  <c r="C4" i="2" a="1"/>
  <c r="C4" i="2" s="1"/>
  <c r="B22" i="2" s="1" a="1"/>
  <c r="B22" i="2" s="1"/>
  <c r="P5" i="2" a="1"/>
  <c r="P5" i="2" s="1"/>
  <c r="P6" i="2" a="1"/>
  <c r="P6" i="2" s="1"/>
  <c r="P7" i="2" a="1"/>
  <c r="P7" i="2" s="1"/>
  <c r="P8" i="2" a="1"/>
  <c r="P8" i="2" s="1"/>
  <c r="P9" i="2" a="1"/>
  <c r="P9" i="2" s="1"/>
  <c r="P10" i="2" a="1"/>
  <c r="P10" i="2" s="1"/>
  <c r="P11" i="2" a="1"/>
  <c r="P11" i="2" s="1"/>
  <c r="P12" i="2" a="1"/>
  <c r="P12" i="2" s="1"/>
  <c r="P13" i="2" a="1"/>
  <c r="P13" i="2" s="1"/>
  <c r="P14" i="2" a="1"/>
  <c r="P14" i="2" s="1"/>
  <c r="P15" i="2" a="1"/>
  <c r="P15" i="2" s="1"/>
  <c r="P18" i="2"/>
  <c r="P19" i="2"/>
  <c r="I17" i="2"/>
  <c r="J17" i="2"/>
  <c r="I18" i="2"/>
  <c r="J18" i="2"/>
  <c r="K18" i="2"/>
  <c r="L18" i="2"/>
  <c r="M18" i="2"/>
  <c r="N18" i="2"/>
  <c r="O18" i="2"/>
  <c r="I19" i="2"/>
  <c r="J19" i="2"/>
  <c r="K19" i="2"/>
  <c r="L19" i="2"/>
  <c r="M19" i="2"/>
  <c r="N19" i="2"/>
  <c r="O19" i="2"/>
  <c r="I5" i="2" a="1"/>
  <c r="I5" i="2" s="1"/>
  <c r="J5" i="2" a="1"/>
  <c r="J5" i="2" s="1"/>
  <c r="K5" i="2" a="1"/>
  <c r="K5" i="2" s="1"/>
  <c r="L5" i="2" a="1"/>
  <c r="L5" i="2" s="1"/>
  <c r="M5" i="2" a="1"/>
  <c r="M5" i="2" s="1"/>
  <c r="N5" i="2" a="1"/>
  <c r="N5" i="2" s="1"/>
  <c r="O5" i="2" a="1"/>
  <c r="O5" i="2" s="1"/>
  <c r="I6" i="2" a="1"/>
  <c r="I6" i="2" s="1"/>
  <c r="J6" i="2" a="1"/>
  <c r="J6" i="2" s="1"/>
  <c r="K6" i="2" a="1"/>
  <c r="K6" i="2" s="1"/>
  <c r="L6" i="2" a="1"/>
  <c r="L6" i="2" s="1"/>
  <c r="M6" i="2" a="1"/>
  <c r="M6" i="2" s="1"/>
  <c r="N6" i="2" a="1"/>
  <c r="N6" i="2" s="1"/>
  <c r="O6" i="2" a="1"/>
  <c r="O6" i="2" s="1"/>
  <c r="I7" i="2" a="1"/>
  <c r="I7" i="2" s="1"/>
  <c r="J7" i="2" a="1"/>
  <c r="J7" i="2" s="1"/>
  <c r="K7" i="2" a="1"/>
  <c r="K7" i="2" s="1"/>
  <c r="L7" i="2" a="1"/>
  <c r="L7" i="2" s="1"/>
  <c r="M7" i="2" a="1"/>
  <c r="M7" i="2" s="1"/>
  <c r="N7" i="2" a="1"/>
  <c r="N7" i="2" s="1"/>
  <c r="O7" i="2" a="1"/>
  <c r="O7" i="2" s="1"/>
  <c r="I8" i="2" a="1"/>
  <c r="I8" i="2" s="1"/>
  <c r="J8" i="2" a="1"/>
  <c r="J8" i="2" s="1"/>
  <c r="K8" i="2" a="1"/>
  <c r="K8" i="2" s="1"/>
  <c r="L8" i="2" a="1"/>
  <c r="L8" i="2" s="1"/>
  <c r="M8" i="2" a="1"/>
  <c r="M8" i="2" s="1"/>
  <c r="N8" i="2" a="1"/>
  <c r="N8" i="2" s="1"/>
  <c r="O8" i="2" a="1"/>
  <c r="O8" i="2" s="1"/>
  <c r="I9" i="2" a="1"/>
  <c r="I9" i="2" s="1"/>
  <c r="J9" i="2" a="1"/>
  <c r="J9" i="2"/>
  <c r="K9" i="2" a="1"/>
  <c r="K9" i="2" s="1"/>
  <c r="L9" i="2" a="1"/>
  <c r="L9" i="2" s="1"/>
  <c r="M9" i="2" a="1"/>
  <c r="M9" i="2" s="1"/>
  <c r="N9" i="2" a="1"/>
  <c r="N9" i="2" s="1"/>
  <c r="O9" i="2" a="1"/>
  <c r="O9" i="2" s="1"/>
  <c r="I10" i="2" a="1"/>
  <c r="I10" i="2"/>
  <c r="J10" i="2" a="1"/>
  <c r="J10" i="2" s="1"/>
  <c r="K10" i="2" a="1"/>
  <c r="K10" i="2" s="1"/>
  <c r="L10" i="2" a="1"/>
  <c r="L10" i="2" s="1"/>
  <c r="M10" i="2" a="1"/>
  <c r="M10" i="2" s="1"/>
  <c r="N10" i="2" a="1"/>
  <c r="N10" i="2" s="1"/>
  <c r="O10" i="2" a="1"/>
  <c r="O10" i="2" s="1"/>
  <c r="I11" i="2" a="1"/>
  <c r="I11" i="2" s="1"/>
  <c r="J11" i="2" a="1"/>
  <c r="J11" i="2" s="1"/>
  <c r="K11" i="2" a="1"/>
  <c r="K11" i="2" s="1"/>
  <c r="L11" i="2" a="1"/>
  <c r="L11" i="2" s="1"/>
  <c r="M11" i="2" a="1"/>
  <c r="M11" i="2" s="1"/>
  <c r="N11" i="2" a="1"/>
  <c r="N11" i="2" s="1"/>
  <c r="O11" i="2" a="1"/>
  <c r="O11" i="2" s="1"/>
  <c r="I12" i="2" a="1"/>
  <c r="I12" i="2" s="1"/>
  <c r="J12" i="2" a="1"/>
  <c r="J12" i="2" s="1"/>
  <c r="K12" i="2" a="1"/>
  <c r="K12" i="2" s="1"/>
  <c r="L12" i="2" a="1"/>
  <c r="L12" i="2" s="1"/>
  <c r="M12" i="2" a="1"/>
  <c r="M12" i="2" s="1"/>
  <c r="N12" i="2" a="1"/>
  <c r="N12" i="2" s="1"/>
  <c r="O12" i="2" a="1"/>
  <c r="O12" i="2" s="1"/>
  <c r="I13" i="2" a="1"/>
  <c r="I13" i="2" s="1"/>
  <c r="J13" i="2" a="1"/>
  <c r="J13" i="2" s="1"/>
  <c r="K13" i="2" a="1"/>
  <c r="K13" i="2" s="1"/>
  <c r="L13" i="2" a="1"/>
  <c r="L13" i="2" s="1"/>
  <c r="M13" i="2" a="1"/>
  <c r="M13" i="2" s="1"/>
  <c r="N13" i="2" a="1"/>
  <c r="N13" i="2" s="1"/>
  <c r="O13" i="2" a="1"/>
  <c r="O13" i="2" s="1"/>
  <c r="I14" i="2" a="1"/>
  <c r="I14" i="2" s="1"/>
  <c r="J14" i="2" a="1"/>
  <c r="J14" i="2" s="1"/>
  <c r="K14" i="2" a="1"/>
  <c r="K14" i="2" s="1"/>
  <c r="L14" i="2" a="1"/>
  <c r="L14" i="2" s="1"/>
  <c r="M14" i="2" a="1"/>
  <c r="M14" i="2" s="1"/>
  <c r="N14" i="2" a="1"/>
  <c r="N14" i="2" s="1"/>
  <c r="O14" i="2" a="1"/>
  <c r="O14" i="2" s="1"/>
  <c r="I15" i="2" a="1"/>
  <c r="I15" i="2" s="1"/>
  <c r="J15" i="2" a="1"/>
  <c r="J15" i="2" s="1"/>
  <c r="K15" i="2" a="1"/>
  <c r="K15" i="2" s="1"/>
  <c r="L15" i="2" a="1"/>
  <c r="L15" i="2" s="1"/>
  <c r="M15" i="2" a="1"/>
  <c r="M15" i="2" s="1"/>
  <c r="N15" i="2" a="1"/>
  <c r="N15" i="2" s="1"/>
  <c r="O15" i="2" a="1"/>
  <c r="O15" i="2" s="1"/>
  <c r="F18" i="2"/>
  <c r="G18" i="2"/>
  <c r="H18" i="2"/>
  <c r="F19" i="2"/>
  <c r="G19" i="2"/>
  <c r="H19" i="2"/>
  <c r="B5" i="2" a="1"/>
  <c r="B5" i="2" s="1"/>
  <c r="F5" i="2" s="1" a="1"/>
  <c r="F5" i="2" s="1"/>
  <c r="D18" i="2"/>
  <c r="E18" i="2"/>
  <c r="D19" i="2"/>
  <c r="E19" i="2"/>
  <c r="C19" i="2"/>
  <c r="C18" i="2"/>
  <c r="A2" i="3" a="1"/>
  <c r="A2" i="3" s="1"/>
  <c r="B4" i="1" a="1"/>
  <c r="B4" i="1" s="1"/>
  <c r="L17" i="2" l="1"/>
  <c r="R17" i="5"/>
  <c r="Q15" i="5" a="1"/>
  <c r="Q15" i="5" s="1"/>
  <c r="H8" i="5" a="1"/>
  <c r="H8" i="5" s="1"/>
  <c r="C6" i="5" a="1"/>
  <c r="C6" i="5" s="1"/>
  <c r="O8" i="5" a="1"/>
  <c r="O8" i="5" s="1"/>
  <c r="I10" i="5" a="1"/>
  <c r="I10" i="5" s="1"/>
  <c r="F11" i="5" a="1"/>
  <c r="F11" i="5" s="1"/>
  <c r="C12" i="5" a="1"/>
  <c r="C12" i="5" s="1"/>
  <c r="O12" i="5" a="1"/>
  <c r="O12" i="5" s="1"/>
  <c r="L13" i="5" a="1"/>
  <c r="L13" i="5" s="1"/>
  <c r="I14" i="5" a="1"/>
  <c r="I14" i="5" s="1"/>
  <c r="L15" i="5" a="1"/>
  <c r="L15" i="5" s="1"/>
  <c r="N8" i="5" a="1"/>
  <c r="N8" i="5" s="1"/>
  <c r="C8" i="5" a="1"/>
  <c r="C8" i="5" s="1"/>
  <c r="C10" i="5" a="1"/>
  <c r="C10" i="5" s="1"/>
  <c r="O10" i="5" a="1"/>
  <c r="O10" i="5" s="1"/>
  <c r="L11" i="5" a="1"/>
  <c r="L11" i="5" s="1"/>
  <c r="I12" i="5" a="1"/>
  <c r="I12" i="5" s="1"/>
  <c r="F13" i="5" a="1"/>
  <c r="F13" i="5" s="1"/>
  <c r="C14" i="5" a="1"/>
  <c r="C14" i="5" s="1"/>
  <c r="O14" i="5" a="1"/>
  <c r="O14" i="5" s="1"/>
  <c r="F15" i="5" a="1"/>
  <c r="F15" i="5" s="1"/>
  <c r="Q7" i="5" a="1"/>
  <c r="Q7" i="5" s="1"/>
  <c r="H10" i="5" a="1"/>
  <c r="H10" i="5" s="1"/>
  <c r="F9" i="5" a="1"/>
  <c r="F9" i="5" s="1"/>
  <c r="G7" i="5" a="1"/>
  <c r="G7" i="5" s="1"/>
  <c r="D10" i="5" a="1"/>
  <c r="D10" i="5" s="1"/>
  <c r="D12" i="5" a="1"/>
  <c r="D12" i="5" s="1"/>
  <c r="P12" i="5" a="1"/>
  <c r="P12" i="5" s="1"/>
  <c r="D14" i="5" a="1"/>
  <c r="D14" i="5" s="1"/>
  <c r="P14" i="5" a="1"/>
  <c r="P14" i="5" s="1"/>
  <c r="M15" i="5" a="1"/>
  <c r="M15" i="5" s="1"/>
  <c r="H6" i="5" a="1"/>
  <c r="H6" i="5" s="1"/>
  <c r="N10" i="5" a="1"/>
  <c r="N10" i="5" s="1"/>
  <c r="O6" i="5" a="1"/>
  <c r="O6" i="5" s="1"/>
  <c r="J6" i="5" a="1"/>
  <c r="J6" i="5" s="1"/>
  <c r="P8" i="5" a="1"/>
  <c r="P8" i="5" s="1"/>
  <c r="M11" i="5" a="1"/>
  <c r="M11" i="5" s="1"/>
  <c r="J12" i="5" a="1"/>
  <c r="J12" i="5" s="1"/>
  <c r="M13" i="5" a="1"/>
  <c r="M13" i="5" s="1"/>
  <c r="J14" i="5" a="1"/>
  <c r="J14" i="5" s="1"/>
  <c r="G15" i="5" a="1"/>
  <c r="G15" i="5" s="1"/>
  <c r="K9" i="5" a="1"/>
  <c r="K9" i="5" s="1"/>
  <c r="I6" i="5" a="1"/>
  <c r="I6" i="5" s="1"/>
  <c r="L9" i="5" a="1"/>
  <c r="L9" i="5" s="1"/>
  <c r="P6" i="5" a="1"/>
  <c r="P6" i="5" s="1"/>
  <c r="G9" i="5" a="1"/>
  <c r="G9" i="5" s="1"/>
  <c r="G11" i="5" a="1"/>
  <c r="G11" i="5" s="1"/>
  <c r="G13" i="5" a="1"/>
  <c r="G13" i="5" s="1"/>
  <c r="K6" i="5" a="1"/>
  <c r="K6" i="5" s="1"/>
  <c r="H7" i="5" a="1"/>
  <c r="H7" i="5" s="1"/>
  <c r="E8" i="5" a="1"/>
  <c r="E8" i="5" s="1"/>
  <c r="Q8" i="5" a="1"/>
  <c r="Q8" i="5" s="1"/>
  <c r="N9" i="5" a="1"/>
  <c r="N9" i="5" s="1"/>
  <c r="K10" i="5" a="1"/>
  <c r="K10" i="5" s="1"/>
  <c r="H11" i="5" a="1"/>
  <c r="H11" i="5" s="1"/>
  <c r="E12" i="5" a="1"/>
  <c r="E12" i="5" s="1"/>
  <c r="Q12" i="5" a="1"/>
  <c r="Q12" i="5" s="1"/>
  <c r="N13" i="5" a="1"/>
  <c r="N13" i="5" s="1"/>
  <c r="E14" i="5" a="1"/>
  <c r="E14" i="5" s="1"/>
  <c r="Q14" i="5" a="1"/>
  <c r="Q14" i="5" s="1"/>
  <c r="H15" i="5" a="1"/>
  <c r="H15" i="5" s="1"/>
  <c r="E6" i="5" a="1"/>
  <c r="E6" i="5" s="1"/>
  <c r="Q6" i="5" a="1"/>
  <c r="Q6" i="5" s="1"/>
  <c r="N7" i="5" a="1"/>
  <c r="N7" i="5" s="1"/>
  <c r="K8" i="5" a="1"/>
  <c r="K8" i="5" s="1"/>
  <c r="H9" i="5" a="1"/>
  <c r="H9" i="5" s="1"/>
  <c r="E10" i="5" a="1"/>
  <c r="E10" i="5" s="1"/>
  <c r="Q10" i="5" a="1"/>
  <c r="Q10" i="5" s="1"/>
  <c r="N11" i="5" a="1"/>
  <c r="N11" i="5" s="1"/>
  <c r="K12" i="5" a="1"/>
  <c r="K12" i="5" s="1"/>
  <c r="H13" i="5" a="1"/>
  <c r="H13" i="5" s="1"/>
  <c r="K14" i="5" a="1"/>
  <c r="K14" i="5" s="1"/>
  <c r="N15" i="5" a="1"/>
  <c r="N15" i="5" s="1"/>
  <c r="B5" i="5"/>
  <c r="J8" i="5" a="1"/>
  <c r="J8" i="5" s="1"/>
  <c r="C7" i="5" a="1"/>
  <c r="C7" i="5" s="1"/>
  <c r="L8" i="5" a="1"/>
  <c r="L8" i="5" s="1"/>
  <c r="F10" i="5" a="1"/>
  <c r="F10" i="5" s="1"/>
  <c r="O15" i="5" a="1"/>
  <c r="O15" i="5" s="1"/>
  <c r="K7" i="5" a="1"/>
  <c r="K7" i="5" s="1"/>
  <c r="E11" i="5" a="1"/>
  <c r="E11" i="5" s="1"/>
  <c r="I8" i="5" a="1"/>
  <c r="I8" i="5" s="1"/>
  <c r="D6" i="5" a="1"/>
  <c r="D6" i="5" s="1"/>
  <c r="M9" i="5" a="1"/>
  <c r="M9" i="5" s="1"/>
  <c r="L6" i="5" a="1"/>
  <c r="L6" i="5" s="1"/>
  <c r="O7" i="5" a="1"/>
  <c r="O7" i="5" s="1"/>
  <c r="I9" i="5" a="1"/>
  <c r="I9" i="5" s="1"/>
  <c r="O9" i="5" a="1"/>
  <c r="O9" i="5" s="1"/>
  <c r="L10" i="5" a="1"/>
  <c r="L10" i="5" s="1"/>
  <c r="C11" i="5" a="1"/>
  <c r="C11" i="5" s="1"/>
  <c r="I11" i="5" a="1"/>
  <c r="I11" i="5" s="1"/>
  <c r="O11" i="5" a="1"/>
  <c r="O11" i="5" s="1"/>
  <c r="F12" i="5" a="1"/>
  <c r="F12" i="5" s="1"/>
  <c r="L12" i="5" a="1"/>
  <c r="L12" i="5" s="1"/>
  <c r="C13" i="5" a="1"/>
  <c r="C13" i="5" s="1"/>
  <c r="I13" i="5" a="1"/>
  <c r="I13" i="5" s="1"/>
  <c r="O13" i="5" a="1"/>
  <c r="O13" i="5" s="1"/>
  <c r="F14" i="5" a="1"/>
  <c r="F14" i="5" s="1"/>
  <c r="L14" i="5" a="1"/>
  <c r="L14" i="5" s="1"/>
  <c r="C15" i="5" a="1"/>
  <c r="C15" i="5" s="1"/>
  <c r="I15" i="5" a="1"/>
  <c r="I15" i="5" s="1"/>
  <c r="E9" i="5" a="1"/>
  <c r="E9" i="5" s="1"/>
  <c r="L7" i="5" a="1"/>
  <c r="L7" i="5" s="1"/>
  <c r="D8" i="5" a="1"/>
  <c r="D8" i="5" s="1"/>
  <c r="P10" i="5" a="1"/>
  <c r="P10" i="5" s="1"/>
  <c r="F6" i="5" a="1"/>
  <c r="F6" i="5" s="1"/>
  <c r="F8" i="5" a="1"/>
  <c r="F8" i="5" s="1"/>
  <c r="M6" i="5" a="1"/>
  <c r="M6" i="5" s="1"/>
  <c r="J7" i="5" a="1"/>
  <c r="J7" i="5" s="1"/>
  <c r="G8" i="5" a="1"/>
  <c r="G8" i="5" s="1"/>
  <c r="D9" i="5" a="1"/>
  <c r="D9" i="5" s="1"/>
  <c r="P9" i="5" a="1"/>
  <c r="P9" i="5" s="1"/>
  <c r="M10" i="5" a="1"/>
  <c r="M10" i="5" s="1"/>
  <c r="J11" i="5" a="1"/>
  <c r="J11" i="5" s="1"/>
  <c r="G12" i="5" a="1"/>
  <c r="G12" i="5" s="1"/>
  <c r="D13" i="5" a="1"/>
  <c r="D13" i="5" s="1"/>
  <c r="P13" i="5" a="1"/>
  <c r="P13" i="5" s="1"/>
  <c r="P15" i="5" a="1"/>
  <c r="P15" i="5" s="1"/>
  <c r="E7" i="5" a="1"/>
  <c r="E7" i="5" s="1"/>
  <c r="K11" i="5" a="1"/>
  <c r="K11" i="5" s="1"/>
  <c r="F7" i="5" a="1"/>
  <c r="F7" i="5" s="1"/>
  <c r="M7" i="5" a="1"/>
  <c r="M7" i="5" s="1"/>
  <c r="J10" i="5" a="1"/>
  <c r="J10" i="5" s="1"/>
  <c r="I7" i="5" a="1"/>
  <c r="I7" i="5" s="1"/>
  <c r="C9" i="5" a="1"/>
  <c r="C9" i="5" s="1"/>
  <c r="G6" i="5" a="1"/>
  <c r="G6" i="5" s="1"/>
  <c r="D7" i="5" a="1"/>
  <c r="D7" i="5" s="1"/>
  <c r="P7" i="5" a="1"/>
  <c r="P7" i="5" s="1"/>
  <c r="M8" i="5" a="1"/>
  <c r="M8" i="5" s="1"/>
  <c r="J9" i="5" a="1"/>
  <c r="J9" i="5" s="1"/>
  <c r="G10" i="5" a="1"/>
  <c r="G10" i="5" s="1"/>
  <c r="D11" i="5" a="1"/>
  <c r="D11" i="5" s="1"/>
  <c r="P11" i="5" a="1"/>
  <c r="P11" i="5" s="1"/>
  <c r="M12" i="5" a="1"/>
  <c r="M12" i="5" s="1"/>
  <c r="J13" i="5" a="1"/>
  <c r="J13" i="5" s="1"/>
  <c r="G14" i="5" a="1"/>
  <c r="G14" i="5" s="1"/>
  <c r="M14" i="5" a="1"/>
  <c r="M14" i="5" s="1"/>
  <c r="D15" i="5" a="1"/>
  <c r="D15" i="5" s="1"/>
  <c r="J15" i="5" a="1"/>
  <c r="J15" i="5" s="1"/>
  <c r="N6" i="5" a="1"/>
  <c r="N6" i="5" s="1"/>
  <c r="Q9" i="5" a="1"/>
  <c r="Q9" i="5" s="1"/>
  <c r="Q11" i="5" a="1"/>
  <c r="Q11" i="5" s="1"/>
  <c r="H12" i="5" a="1"/>
  <c r="H12" i="5" s="1"/>
  <c r="N12" i="5" a="1"/>
  <c r="N12" i="5" s="1"/>
  <c r="E13" i="5" a="1"/>
  <c r="E13" i="5" s="1"/>
  <c r="K13" i="5" a="1"/>
  <c r="K13" i="5" s="1"/>
  <c r="Q13" i="5" a="1"/>
  <c r="Q13" i="5" s="1"/>
  <c r="H14" i="5" a="1"/>
  <c r="H14" i="5" s="1"/>
  <c r="N14" i="5" a="1"/>
  <c r="N14" i="5" s="1"/>
  <c r="E15" i="5" a="1"/>
  <c r="E15" i="5" s="1"/>
  <c r="Q17" i="2"/>
  <c r="P17" i="2"/>
  <c r="O17" i="2"/>
  <c r="N17" i="2"/>
  <c r="M17" i="2"/>
  <c r="K17" i="2"/>
  <c r="F9" i="2" a="1"/>
  <c r="F9" i="2" s="1"/>
  <c r="H12" i="2" a="1"/>
  <c r="H12" i="2" s="1"/>
  <c r="G7" i="2" a="1"/>
  <c r="G7" i="2" s="1"/>
  <c r="H6" i="2" a="1"/>
  <c r="H6" i="2" s="1"/>
  <c r="G6" i="2" a="1"/>
  <c r="G6" i="2" s="1"/>
  <c r="H5" i="2" a="1"/>
  <c r="H5" i="2" s="1"/>
  <c r="G5" i="2" a="1"/>
  <c r="G5" i="2" s="1"/>
  <c r="H9" i="2" a="1"/>
  <c r="H9" i="2" s="1"/>
  <c r="G9" i="2" a="1"/>
  <c r="G9" i="2" s="1"/>
  <c r="G12" i="2" a="1"/>
  <c r="G12" i="2" s="1"/>
  <c r="F8" i="2" a="1"/>
  <c r="F8" i="2" s="1"/>
  <c r="H11" i="2" a="1"/>
  <c r="H11" i="2" s="1"/>
  <c r="F7" i="2" a="1"/>
  <c r="F7" i="2" s="1"/>
  <c r="G11" i="2" a="1"/>
  <c r="G11" i="2" s="1"/>
  <c r="H8" i="2" a="1"/>
  <c r="H8" i="2" s="1"/>
  <c r="F13" i="2" a="1"/>
  <c r="F13" i="2" s="1"/>
  <c r="G14" i="2" a="1"/>
  <c r="G14" i="2" s="1"/>
  <c r="F12" i="2" a="1"/>
  <c r="F12" i="2" s="1"/>
  <c r="H13" i="2" a="1"/>
  <c r="H13" i="2" s="1"/>
  <c r="F11" i="2" a="1"/>
  <c r="F11" i="2" s="1"/>
  <c r="G13" i="2" a="1"/>
  <c r="G13" i="2" s="1"/>
  <c r="G8" i="2" a="1"/>
  <c r="G8" i="2" s="1"/>
  <c r="F6" i="2" a="1"/>
  <c r="F6" i="2" s="1"/>
  <c r="H10" i="2" a="1"/>
  <c r="H10" i="2" s="1"/>
  <c r="H15" i="2" a="1"/>
  <c r="H15" i="2" s="1"/>
  <c r="G10" i="2" a="1"/>
  <c r="G10" i="2" s="1"/>
  <c r="F15" i="2" a="1"/>
  <c r="F15" i="2" s="1"/>
  <c r="G15" i="2" a="1"/>
  <c r="G15" i="2" s="1"/>
  <c r="F14" i="2" a="1"/>
  <c r="F14" i="2" s="1"/>
  <c r="H14" i="2" a="1"/>
  <c r="H14" i="2" s="1"/>
  <c r="F10" i="2" a="1"/>
  <c r="F10" i="2" s="1"/>
  <c r="H7" i="2" a="1"/>
  <c r="H7" i="2" s="1"/>
  <c r="D6" i="2" a="1"/>
  <c r="D6" i="2" s="1"/>
  <c r="D7" i="2" a="1"/>
  <c r="D7" i="2" s="1"/>
  <c r="D8" i="2" a="1"/>
  <c r="D8" i="2" s="1"/>
  <c r="D9" i="2" a="1"/>
  <c r="D9" i="2" s="1"/>
  <c r="D10" i="2" a="1"/>
  <c r="D10" i="2" s="1"/>
  <c r="D11" i="2" a="1"/>
  <c r="D11" i="2" s="1"/>
  <c r="D12" i="2" a="1"/>
  <c r="D12" i="2" s="1"/>
  <c r="D13" i="2" a="1"/>
  <c r="D13" i="2" s="1"/>
  <c r="D14" i="2" a="1"/>
  <c r="D14" i="2" s="1"/>
  <c r="D15" i="2" a="1"/>
  <c r="D15" i="2" s="1"/>
  <c r="E11" i="2" a="1"/>
  <c r="E11" i="2" s="1"/>
  <c r="E13" i="2" a="1"/>
  <c r="E13" i="2" s="1"/>
  <c r="E15" i="2" a="1"/>
  <c r="E15" i="2" s="1"/>
  <c r="C6" i="2" a="1"/>
  <c r="C6" i="2" s="1"/>
  <c r="E6" i="2" a="1"/>
  <c r="E6" i="2" s="1"/>
  <c r="E7" i="2" a="1"/>
  <c r="E7" i="2" s="1"/>
  <c r="E8" i="2" a="1"/>
  <c r="E8" i="2" s="1"/>
  <c r="E9" i="2" a="1"/>
  <c r="E9" i="2" s="1"/>
  <c r="E10" i="2" a="1"/>
  <c r="E10" i="2" s="1"/>
  <c r="E12" i="2" a="1"/>
  <c r="E12" i="2" s="1"/>
  <c r="E14" i="2" a="1"/>
  <c r="E14" i="2" s="1"/>
  <c r="C8" i="2" a="1"/>
  <c r="C8" i="2" s="1"/>
  <c r="C15" i="2" a="1"/>
  <c r="C15" i="2" s="1"/>
  <c r="C9" i="2" a="1"/>
  <c r="C9" i="2" s="1"/>
  <c r="C7" i="2" a="1"/>
  <c r="C7" i="2" s="1"/>
  <c r="C14" i="2" a="1"/>
  <c r="C14" i="2" s="1"/>
  <c r="C13" i="2" a="1"/>
  <c r="C13" i="2" s="1"/>
  <c r="C12" i="2" a="1"/>
  <c r="C12" i="2" s="1"/>
  <c r="C11" i="2" a="1"/>
  <c r="C11" i="2" s="1"/>
  <c r="C10" i="2" a="1"/>
  <c r="C10" i="2" s="1"/>
  <c r="J5" i="5" l="1" a="1"/>
  <c r="J5" i="5" s="1"/>
  <c r="J17" i="5" s="1"/>
  <c r="O5" i="5" a="1"/>
  <c r="O5" i="5" s="1"/>
  <c r="O17" i="5" s="1"/>
  <c r="G5" i="5" a="1"/>
  <c r="G5" i="5" s="1"/>
  <c r="G17" i="5" s="1"/>
  <c r="P5" i="5" a="1"/>
  <c r="P5" i="5" s="1"/>
  <c r="P17" i="5" s="1"/>
  <c r="D5" i="5" a="1"/>
  <c r="D5" i="5" s="1"/>
  <c r="D17" i="5" s="1"/>
  <c r="M5" i="5" a="1"/>
  <c r="M5" i="5" s="1"/>
  <c r="M17" i="5" s="1"/>
  <c r="F5" i="5" a="1"/>
  <c r="F5" i="5" s="1"/>
  <c r="F17" i="5" s="1"/>
  <c r="K5" i="5" a="1"/>
  <c r="K5" i="5" s="1"/>
  <c r="K17" i="5" s="1"/>
  <c r="C5" i="5" a="1"/>
  <c r="C5" i="5" s="1"/>
  <c r="C17" i="5" s="1"/>
  <c r="I5" i="5" a="1"/>
  <c r="I5" i="5" s="1"/>
  <c r="I17" i="5" s="1"/>
  <c r="N5" i="5" a="1"/>
  <c r="N5" i="5" s="1"/>
  <c r="N17" i="5" s="1"/>
  <c r="H5" i="5" a="1"/>
  <c r="H5" i="5" s="1"/>
  <c r="H17" i="5" s="1"/>
  <c r="Q5" i="5" a="1"/>
  <c r="Q5" i="5" s="1"/>
  <c r="Q17" i="5" s="1"/>
  <c r="L5" i="5" a="1"/>
  <c r="L5" i="5" s="1"/>
  <c r="L17" i="5" s="1"/>
  <c r="E5" i="5" a="1"/>
  <c r="E5" i="5" s="1"/>
  <c r="E17" i="5" s="1"/>
  <c r="D5" i="2" a="1"/>
  <c r="D5" i="2" s="1"/>
  <c r="D17" i="2" s="1"/>
  <c r="E5" i="2" a="1"/>
  <c r="E5" i="2" s="1"/>
  <c r="E17" i="2" s="1"/>
  <c r="F17" i="2"/>
  <c r="G17" i="2"/>
  <c r="H17" i="2"/>
  <c r="C5" i="2" a="1"/>
  <c r="C5" i="2" s="1"/>
  <c r="C17"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futureMetadata>
  <cellMetadata count="1">
    <bk>
      <rc t="1" v="0"/>
    </bk>
  </cellMetadata>
  <valueMetadata count="10">
    <bk>
      <rc t="2" v="0"/>
    </bk>
    <bk>
      <rc t="2" v="1"/>
    </bk>
    <bk>
      <rc t="2" v="2"/>
    </bk>
    <bk>
      <rc t="2" v="3"/>
    </bk>
    <bk>
      <rc t="2" v="4"/>
    </bk>
    <bk>
      <rc t="2" v="5"/>
    </bk>
    <bk>
      <rc t="2" v="6"/>
    </bk>
    <bk>
      <rc t="2" v="7"/>
    </bk>
    <bk>
      <rc t="2" v="8"/>
    </bk>
    <bk>
      <rc t="2" v="9"/>
    </bk>
  </valueMetadata>
</metadata>
</file>

<file path=xl/sharedStrings.xml><?xml version="1.0" encoding="utf-8"?>
<sst xmlns="http://schemas.openxmlformats.org/spreadsheetml/2006/main" count="453" uniqueCount="198">
  <si>
    <t>SPI</t>
  </si>
  <si>
    <t>Extra sources</t>
  </si>
  <si>
    <t>Primary School Enrollment (% of pop in school age)</t>
  </si>
  <si>
    <t>Daily Calorie supply (kcal / day / person)</t>
  </si>
  <si>
    <t>Protein supply (g/ day/ person)</t>
  </si>
  <si>
    <t>Healthy life expectancy (HALE)</t>
  </si>
  <si>
    <t>Safely Managed Drinking Water (% of pop)</t>
  </si>
  <si>
    <t xml:space="preserve">Safely Managed Sanitation (% of people) </t>
  </si>
  <si>
    <t>Physicians per 1000</t>
  </si>
  <si>
    <t>Hospital beds per 1000</t>
  </si>
  <si>
    <t>Clean Fuels</t>
  </si>
  <si>
    <t>Share slums  (Share of urban population living in slums)</t>
  </si>
  <si>
    <t>Intentional homicide victims</t>
  </si>
  <si>
    <t>FWB</t>
  </si>
  <si>
    <t>BHN</t>
  </si>
  <si>
    <t>OPP</t>
  </si>
  <si>
    <t>DLS dimension</t>
  </si>
  <si>
    <t>Related DLS dimension</t>
  </si>
  <si>
    <t>Food &amp; Nutrition</t>
  </si>
  <si>
    <t>Housing</t>
  </si>
  <si>
    <t>Thermal comfort</t>
  </si>
  <si>
    <t>Food preparation</t>
  </si>
  <si>
    <t>Water</t>
  </si>
  <si>
    <t>Education</t>
  </si>
  <si>
    <t>Sanitation</t>
  </si>
  <si>
    <t>Health Care</t>
  </si>
  <si>
    <t>Social connectedness</t>
  </si>
  <si>
    <t>Physical Connectedness</t>
  </si>
  <si>
    <t>Unrepresented</t>
  </si>
  <si>
    <t>Coverage in clustering experiments</t>
  </si>
  <si>
    <t>Available indicators</t>
  </si>
  <si>
    <t>BHN_FWB</t>
  </si>
  <si>
    <t>BHN_FWB_AllExt</t>
  </si>
  <si>
    <t>Number  of indicators</t>
  </si>
  <si>
    <t>Of which SPI</t>
  </si>
  <si>
    <t>Of which Extended</t>
  </si>
  <si>
    <t>Non material / Non-DLS</t>
  </si>
  <si>
    <t>No_non_DLS</t>
  </si>
  <si>
    <t>Only_%_of_pop</t>
  </si>
  <si>
    <t>Few_indicators_closest_DLS_coverage</t>
  </si>
  <si>
    <t>Before run</t>
  </si>
  <si>
    <t>After run</t>
  </si>
  <si>
    <t>Only BHN, FWB  and all extended variables to cluster the countries. Higher amount of missingness may cause unstable clusters. All possible DLS dimensions are covered.</t>
  </si>
  <si>
    <t>Only BHN and FWB from SPI to cluster the countries. Low amount of missingness high stability of clusters is expected between imputed sets. Housing dimension is lacking</t>
  </si>
  <si>
    <t>Clustering where all variables that are not directly related to DLS dimensions are excluded, but all others are included</t>
  </si>
  <si>
    <t>Automatic table based on "Experiments"</t>
  </si>
  <si>
    <t>Choosing as few indicators as possible to cover DLS dimensions. Indicators are chosen so that they align most with the indicators presented in the subnational study. Redundancy is avoided. High missingness may cause problems</t>
  </si>
  <si>
    <t>Choosing as few indicators as possible to cover DLS dimensions. Indicators are chosen from SPI if possiblle to avoid missing data porblems. Redundancy is avoided.</t>
  </si>
  <si>
    <t>Thoughts</t>
  </si>
  <si>
    <t>Available Indicator (1 indicates that the indicator is included)</t>
  </si>
  <si>
    <t>Clustering that only includes indicators that describes attainment as a proportion of population. This will provide clusters where we can easily determine national DLS coverage afterwards.</t>
  </si>
  <si>
    <t>Read me</t>
  </si>
  <si>
    <t/>
  </si>
  <si>
    <t>Sheet "Experiment descriptions" holds an overview of the different experiemnts. The table to the left should not be touched, but comments to experiments can be written in the blue table below.
Sheet "Experiments" is where the exact indicators going into the experiments can be found. New experiments can be created by adding a new column with 0s and 1s denoting which indicators should be included. 
Sheet "Overview of indicators and DLS" shows my evaluation of our indicators' relation to DLS.</t>
  </si>
  <si>
    <t>Physical connectedness (mobility) is not well represented globally through time</t>
  </si>
  <si>
    <t>Batch</t>
  </si>
  <si>
    <t>Batch2</t>
  </si>
  <si>
    <t>Batch1</t>
  </si>
  <si>
    <t>Results</t>
  </si>
  <si>
    <t>Few_indicators_closest_DLS_coverage_90</t>
  </si>
  <si>
    <t>Similar to previous test with the same name, but this time the PCA should include 90% of the information</t>
  </si>
  <si>
    <t>Few_indicators_closeDLS_subPrimSchool</t>
  </si>
  <si>
    <t>No_non_DLS_90</t>
  </si>
  <si>
    <t>Primary school enrollment (Ext) is substituted by mean years of schooling (SPI) to reduce the missingness going into the clusters</t>
  </si>
  <si>
    <t>Few_Indicators_subWatSani</t>
  </si>
  <si>
    <t>Imputations for  safely manged drinking water and sanitation (Ext), have a lot of uncertainty, in our countries of interest. This clustering substituses them, with the less strict indicators from SPI</t>
  </si>
  <si>
    <t>% missing values in selected extended indicators</t>
  </si>
  <si>
    <t>Only_OPP</t>
  </si>
  <si>
    <t>OPP reflects the quality of the institutions in a country, the resulting clusters should align with the colonial data.</t>
  </si>
  <si>
    <t>Baseline</t>
  </si>
  <si>
    <t>No_nonDLS_limExt</t>
  </si>
  <si>
    <t>Too many clusters</t>
  </si>
  <si>
    <t>Clustering the whole world using BHN indicators led to too few clusters. Clustering only the countries present in the colonial data and the results are look promising</t>
  </si>
  <si>
    <t>These experiments were performed in a second round, where after imputation, the SPI indicators were scaled according to their scaling system. The new lag/lead imputation was used.</t>
  </si>
  <si>
    <t xml:space="preserve">Excluded due to exteme variation in the clustering </t>
  </si>
  <si>
    <t>Sheet "Unscaled experiments/Scaled experiments" holds an overview of the different experiemnts. The table to the left should not be touched, but comments to experiments can be written in the blue table below.
Sheet "Experiments" is where the exact indicators going into the experiments can be found. New experiments can be created by adding a new column with 0s and 1s denoting which indicators should be included. 
Sheet "Overview of indicators and DLS" shows my evaluation of our indicators' relation to DLS.</t>
  </si>
  <si>
    <t>No_non_DLS_BHNFWB</t>
  </si>
  <si>
    <t>All_indicators</t>
  </si>
  <si>
    <t>Few_indicators_SPI_preferred_90</t>
  </si>
  <si>
    <t>Few_indicators_SPI_preferred</t>
  </si>
  <si>
    <t>SPI_Extended</t>
  </si>
  <si>
    <t>DLS_dim_only</t>
  </si>
  <si>
    <t>DLS_dim_only_limExt</t>
  </si>
  <si>
    <t>DLS_dim_only_BHNFWB</t>
  </si>
  <si>
    <t>DLSFew_coverage</t>
  </si>
  <si>
    <t>DLSFew_coverage_90</t>
  </si>
  <si>
    <t>DLSFew_bestAlignment</t>
  </si>
  <si>
    <t>DLSFew_bestAlignment_90</t>
  </si>
  <si>
    <t>#</t>
  </si>
  <si>
    <t>DLS Indicator</t>
  </si>
  <si>
    <t>DHS Variables with Minimum Thresholds Used to Define DLS</t>
  </si>
  <si>
    <t>Food/Nutrition</t>
  </si>
  <si>
    <t>Food prep/storage</t>
  </si>
  <si>
    <r>
      <t>Main source of drinking water (hv201):</t>
    </r>
    <r>
      <rPr>
        <sz val="11"/>
        <color theme="1"/>
        <rFont val="Aptos Narrow"/>
        <family val="2"/>
        <scheme val="minor"/>
      </rPr>
      <t xml:space="preserve"> Household has access to “Safely managed” drinking water as per WASH guidelines</t>
    </r>
  </si>
  <si>
    <r>
      <t>Type of toilet (hv205):</t>
    </r>
    <r>
      <rPr>
        <sz val="11"/>
        <color theme="1"/>
        <rFont val="Aptos Narrow"/>
        <family val="2"/>
        <scheme val="minor"/>
      </rPr>
      <t xml:space="preserve"> Household has access to “Safely managed” toilet facility as per WASH guidelines</t>
    </r>
  </si>
  <si>
    <t>Provision of health care</t>
  </si>
  <si>
    <r>
      <t>Problems faced in getting healthcare (v467a–v467j):</t>
    </r>
    <r>
      <rPr>
        <sz val="11"/>
        <color theme="1"/>
        <rFont val="Aptos Narrow"/>
        <family val="2"/>
        <scheme val="minor"/>
      </rPr>
      <t xml:space="preserve"> Binary indicator. If any of v467a–v467j indicates no access, response = 1</t>
    </r>
  </si>
  <si>
    <t>Social Connectedness</t>
  </si>
  <si>
    <t>Indicators used in this study</t>
  </si>
  <si>
    <t>Access to electricity </t>
  </si>
  <si>
    <t>Child stunting </t>
  </si>
  <si>
    <t>Nutritional deficiencies </t>
  </si>
  <si>
    <t>Diet low in fruits and vegetables </t>
  </si>
  <si>
    <t>Daily Calorie supply </t>
  </si>
  <si>
    <t>Protein supply </t>
  </si>
  <si>
    <t>Deaths from household air pollution </t>
  </si>
  <si>
    <t>Prevalence of cooking with coal/biomass </t>
  </si>
  <si>
    <t>Clean Fuels </t>
  </si>
  <si>
    <t>No access to a handwashing facility </t>
  </si>
  <si>
    <t>Deaths from unsafe water, sanitation and hygiene </t>
  </si>
  <si>
    <t>Improved water source </t>
  </si>
  <si>
    <t>Safely Managed Drinking Water </t>
  </si>
  <si>
    <t>Improved sanitation </t>
  </si>
  <si>
    <t>Safely Managed Sanitation </t>
  </si>
  <si>
    <t>Deaths from infectious diseases </t>
  </si>
  <si>
    <t>Maternal mortality </t>
  </si>
  <si>
    <t>Child mortality  </t>
  </si>
  <si>
    <t>Life expectancy at 60 years </t>
  </si>
  <si>
    <t>Healthy life expectancy </t>
  </si>
  <si>
    <t>Premature deaths from non-communicable diseases </t>
  </si>
  <si>
    <t>Equal access to quality healthcare </t>
  </si>
  <si>
    <t>Universal health coverage </t>
  </si>
  <si>
    <t>Physicians per 1000 </t>
  </si>
  <si>
    <t>Hospital beds per 1000 </t>
  </si>
  <si>
    <t>Primary School Enrollment </t>
  </si>
  <si>
    <t>Gender parity in basic/advanced education (distance from parity)  </t>
  </si>
  <si>
    <t>Equal access to quality education (0=unequal; 4=equal)  </t>
  </si>
  <si>
    <t>Mean years of schooling (years) </t>
  </si>
  <si>
    <t>Population with advanced education (proportion of pop.)  </t>
  </si>
  <si>
    <t>Years of tertiary schooling (years) </t>
  </si>
  <si>
    <t>Respect for academic freedom (0=low; 1=high) </t>
  </si>
  <si>
    <t>Population with no/advanced education (proportion of pop.)  </t>
  </si>
  <si>
    <t>Alternative sources of information (0=low; 1=high) </t>
  </si>
  <si>
    <t>Internet users (% of pop.)  </t>
  </si>
  <si>
    <t>Mobile and landline telephone subscriptions (subscriptions/100 people)  </t>
  </si>
  <si>
    <t>Child stunting</t>
  </si>
  <si>
    <r>
      <t>Household possesses bicycle (hv210):</t>
    </r>
    <r>
      <rPr>
        <sz val="11"/>
        <color theme="1"/>
        <rFont val="Aptos Narrow"/>
        <family val="2"/>
        <scheme val="minor"/>
      </rPr>
      <t xml:space="preserve"> If has bicycle, response = 1
</t>
    </r>
    <r>
      <rPr>
        <b/>
        <sz val="11"/>
        <color theme="1"/>
        <rFont val="Aptos Narrow"/>
        <family val="2"/>
        <scheme val="minor"/>
      </rPr>
      <t>Household possesses motorcycle (hv211):</t>
    </r>
    <r>
      <rPr>
        <sz val="11"/>
        <color theme="1"/>
        <rFont val="Aptos Narrow"/>
        <family val="2"/>
        <scheme val="minor"/>
      </rPr>
      <t xml:space="preserve"> If has motorcycle, response = 1
</t>
    </r>
    <r>
      <rPr>
        <b/>
        <sz val="11"/>
        <color theme="1"/>
        <rFont val="Aptos Narrow"/>
        <family val="2"/>
        <scheme val="minor"/>
      </rPr>
      <t>Household possesses car (hv212):</t>
    </r>
    <r>
      <rPr>
        <sz val="11"/>
        <color theme="1"/>
        <rFont val="Aptos Narrow"/>
        <family val="2"/>
        <scheme val="minor"/>
      </rPr>
      <t xml:space="preserve"> If has car, response = 1</t>
    </r>
    <r>
      <rPr>
        <i/>
        <sz val="11"/>
        <color theme="1"/>
        <rFont val="Aptos Narrow"/>
        <family val="2"/>
        <scheme val="minor"/>
      </rPr>
      <t>(All Binary Indicators)</t>
    </r>
  </si>
  <si>
    <r>
      <t>Household possesses radio (hv207):</t>
    </r>
    <r>
      <rPr>
        <sz val="11"/>
        <color theme="1"/>
        <rFont val="Aptos Narrow"/>
        <family val="2"/>
        <scheme val="minor"/>
      </rPr>
      <t xml:space="preserve"> If has radio, response = 1
</t>
    </r>
    <r>
      <rPr>
        <b/>
        <sz val="11"/>
        <color theme="1"/>
        <rFont val="Aptos Narrow"/>
        <family val="2"/>
        <scheme val="minor"/>
      </rPr>
      <t>Household possesses television (hv208):</t>
    </r>
    <r>
      <rPr>
        <sz val="11"/>
        <color theme="1"/>
        <rFont val="Aptos Narrow"/>
        <family val="2"/>
        <scheme val="minor"/>
      </rPr>
      <t xml:space="preserve"> If has TV, response = 1
</t>
    </r>
    <r>
      <rPr>
        <b/>
        <sz val="11"/>
        <color theme="1"/>
        <rFont val="Aptos Narrow"/>
        <family val="2"/>
        <scheme val="minor"/>
      </rPr>
      <t>Household possesses computer (hv243):</t>
    </r>
    <r>
      <rPr>
        <sz val="11"/>
        <color theme="1"/>
        <rFont val="Aptos Narrow"/>
        <family val="2"/>
        <scheme val="minor"/>
      </rPr>
      <t xml:space="preserve"> If has computer, response = 1
</t>
    </r>
    <r>
      <rPr>
        <b/>
        <sz val="11"/>
        <color theme="1"/>
        <rFont val="Aptos Narrow"/>
        <family val="2"/>
        <scheme val="minor"/>
      </rPr>
      <t>Household possesses telephone (hv221):</t>
    </r>
    <r>
      <rPr>
        <sz val="11"/>
        <color theme="1"/>
        <rFont val="Aptos Narrow"/>
        <family val="2"/>
        <scheme val="minor"/>
      </rPr>
      <t xml:space="preserve"> If has telephone, response = 1
</t>
    </r>
    <r>
      <rPr>
        <b/>
        <sz val="11"/>
        <color theme="1"/>
        <rFont val="Aptos Narrow"/>
        <family val="2"/>
        <scheme val="minor"/>
      </rPr>
      <t>Household possesses cell phone (hv243A):</t>
    </r>
    <r>
      <rPr>
        <sz val="11"/>
        <color theme="1"/>
        <rFont val="Aptos Narrow"/>
        <family val="2"/>
        <scheme val="minor"/>
      </rPr>
      <t xml:space="preserve"> If has cellphone, response = 1</t>
    </r>
    <r>
      <rPr>
        <i/>
        <sz val="11"/>
        <color theme="1"/>
        <rFont val="Aptos Narrow"/>
        <family val="2"/>
        <scheme val="minor"/>
      </rPr>
      <t>(All Binary Indicators)</t>
    </r>
  </si>
  <si>
    <r>
      <t>Is the household member still in school? (hv110):</t>
    </r>
    <r>
      <rPr>
        <sz val="11"/>
        <color theme="1"/>
        <rFont val="Aptos Narrow"/>
        <family val="2"/>
        <scheme val="minor"/>
      </rPr>
      <t xml:space="preserve"> Binary indicator. If in school and belongs to compulsory schooling age, response = 1
</t>
    </r>
    <r>
      <rPr>
        <b/>
        <sz val="11"/>
        <color theme="1"/>
        <rFont val="Aptos Narrow"/>
        <family val="2"/>
        <scheme val="minor"/>
      </rPr>
      <t>Age of household members (hv105):</t>
    </r>
    <r>
      <rPr>
        <sz val="11"/>
        <color theme="1"/>
        <rFont val="Aptos Narrow"/>
        <family val="2"/>
        <scheme val="minor"/>
      </rPr>
      <t xml:space="preserve"> Compulsory schooling age between 6 and 10</t>
    </r>
  </si>
  <si>
    <t>Source</t>
  </si>
  <si>
    <t>UN HABITAT</t>
  </si>
  <si>
    <r>
      <t>BMI (v445):</t>
    </r>
    <r>
      <rPr>
        <sz val="11"/>
        <color theme="1"/>
        <rFont val="Aptos Narrow"/>
        <family val="2"/>
        <scheme val="minor"/>
      </rPr>
      <t xml:space="preserve"> If BMI is below 1850, then undernourished.
</t>
    </r>
    <r>
      <rPr>
        <b/>
        <sz val="11"/>
        <color theme="1"/>
        <rFont val="Aptos Narrow"/>
        <family val="2"/>
        <scheme val="minor"/>
      </rPr>
      <t>Height (v438):</t>
    </r>
    <r>
      <rPr>
        <sz val="11"/>
        <color theme="1"/>
        <rFont val="Aptos Narrow"/>
        <family val="2"/>
        <scheme val="minor"/>
      </rPr>
      <t xml:space="preserve"> For BMI calculation
</t>
    </r>
    <r>
      <rPr>
        <b/>
        <sz val="11"/>
        <color theme="1"/>
        <rFont val="Aptos Narrow"/>
        <family val="2"/>
        <scheme val="minor"/>
      </rPr>
      <t>Weight (v437):</t>
    </r>
    <r>
      <rPr>
        <sz val="11"/>
        <color theme="1"/>
        <rFont val="Aptos Narrow"/>
        <family val="2"/>
        <scheme val="minor"/>
      </rPr>
      <t xml:space="preserve"> For BMI calculation</t>
    </r>
  </si>
  <si>
    <r>
      <t>Wall material (hv214):</t>
    </r>
    <r>
      <rPr>
        <sz val="11"/>
        <color theme="1"/>
        <rFont val="Aptos Narrow"/>
        <family val="2"/>
        <scheme val="minor"/>
      </rPr>
      <t xml:space="preserve"> Finished wall materials (tin, cement, stone, bricks, wood planks)
</t>
    </r>
    <r>
      <rPr>
        <b/>
        <sz val="11"/>
        <color theme="1"/>
        <rFont val="Aptos Narrow"/>
        <family val="2"/>
        <scheme val="minor"/>
      </rPr>
      <t>Roof material (hv215):</t>
    </r>
    <r>
      <rPr>
        <sz val="11"/>
        <color theme="1"/>
        <rFont val="Aptos Narrow"/>
        <family val="2"/>
        <scheme val="minor"/>
      </rPr>
      <t xml:space="preserve"> Finished roof materials (tin, wood, ceramic tiles, cement, roofing shingles)
</t>
    </r>
    <r>
      <rPr>
        <b/>
        <sz val="11"/>
        <color theme="1"/>
        <rFont val="Aptos Narrow"/>
        <family val="2"/>
        <scheme val="minor"/>
      </rPr>
      <t>Access to electricity (hv206):</t>
    </r>
    <r>
      <rPr>
        <sz val="11"/>
        <color theme="1"/>
        <rFont val="Aptos Narrow"/>
        <family val="2"/>
        <scheme val="minor"/>
      </rPr>
      <t xml:space="preserve"> Binary indicator. If household has access, response = 1</t>
    </r>
  </si>
  <si>
    <r>
      <t>Floor Material (hv213):</t>
    </r>
    <r>
      <rPr>
        <sz val="11"/>
        <color theme="1"/>
        <rFont val="Aptos Narrow"/>
        <family val="2"/>
        <scheme val="minor"/>
      </rPr>
      <t xml:space="preserve"> Finished floor material (parquet or polished wood, tiles, cement, carpet)
</t>
    </r>
    <r>
      <rPr>
        <b/>
        <sz val="11"/>
        <color theme="1"/>
        <rFont val="Aptos Narrow"/>
        <family val="2"/>
        <scheme val="minor"/>
      </rPr>
      <t>Household size (hv009)/Number of rooms (hv216):</t>
    </r>
    <r>
      <rPr>
        <sz val="11"/>
        <color theme="1"/>
        <rFont val="Aptos Narrow"/>
        <family val="2"/>
        <scheme val="minor"/>
      </rPr>
      <t xml:space="preserve"> Number of people per room is less than 3</t>
    </r>
  </si>
  <si>
    <r>
      <t>Household has a refrigerator (hv209):</t>
    </r>
    <r>
      <rPr>
        <sz val="11"/>
        <color theme="1"/>
        <rFont val="Aptos Narrow"/>
        <family val="2"/>
        <scheme val="minor"/>
      </rPr>
      <t xml:space="preserve"> Binary indicator. If household has refrigerator, response = 1
</t>
    </r>
    <r>
      <rPr>
        <b/>
        <sz val="11"/>
        <color theme="1"/>
        <rFont val="Aptos Narrow"/>
        <family val="2"/>
        <scheme val="minor"/>
      </rPr>
      <t>Household uses modern cooking fuel (hv239):</t>
    </r>
    <r>
      <rPr>
        <sz val="11"/>
        <color theme="1"/>
        <rFont val="Aptos Narrow"/>
        <family val="2"/>
        <scheme val="minor"/>
      </rPr>
      <t xml:space="preserve"> Household has access to at least one of the following types of fuels: gas, LPG, electricity, solar</t>
    </r>
  </si>
  <si>
    <t>The indicator used is an aggregate indicator measuring lack of one or more of the following: access to improved water, improved sanitation, sufficient living area, housing durability and security of tenure.  Rural population is not considered.</t>
  </si>
  <si>
    <t>FAO</t>
  </si>
  <si>
    <t>World Bank</t>
  </si>
  <si>
    <t>UNESCO</t>
  </si>
  <si>
    <t>https://data.worldbank.org/indicator/SE.PRM.NENR</t>
  </si>
  <si>
    <t>https://databank.worldbank.org/source/world-development-indicators/Series/SH.MED.BEDS.ZS</t>
  </si>
  <si>
    <t>https://databank.worldbank.org/source/health-nutrition-and-population-statistics/Series/SH.MED.PHYS.ZS</t>
  </si>
  <si>
    <t>https://data.unhabitat.org/pages/housing-slums-and-informal-settlements</t>
  </si>
  <si>
    <t>Link</t>
  </si>
  <si>
    <t>https://data.worldbank.org/indicator/SH.STA.SMSS.ZS</t>
  </si>
  <si>
    <t>WHO / UNICEF JMP</t>
  </si>
  <si>
    <t>https://data.worldbank.org/indicator/SH.H2O.SMDW.ZS</t>
  </si>
  <si>
    <t>https://data.worldbank.org/indicator/EG.CFT.ACCS.ZS</t>
  </si>
  <si>
    <t>IEA</t>
  </si>
  <si>
    <t>https://www.who.int/data/gho/data/indicators/indicator-details/GHO/gho-ghe-hale-healthy-life-expectancy-at-birth</t>
  </si>
  <si>
    <t>WHO</t>
  </si>
  <si>
    <t>DLS answered</t>
  </si>
  <si>
    <t>/</t>
  </si>
  <si>
    <t>+</t>
  </si>
  <si>
    <t>-</t>
  </si>
  <si>
    <t>Share of urban population living in slums</t>
  </si>
  <si>
    <r>
      <t>DLS dimension</t>
    </r>
    <r>
      <rPr>
        <b/>
        <strike/>
        <sz val="10"/>
        <color rgb="FF0078D4"/>
        <rFont val="Aptos"/>
        <family val="2"/>
      </rPr>
      <t>s</t>
    </r>
    <r>
      <rPr>
        <b/>
        <sz val="10"/>
        <rFont val="Aptos"/>
        <family val="2"/>
      </rPr>
      <t> </t>
    </r>
  </si>
  <si>
    <t>DHS variables </t>
  </si>
  <si>
    <t>Indicator used in this study </t>
  </si>
  <si>
    <t>Source </t>
  </si>
  <si>
    <r>
      <t>Comment</t>
    </r>
    <r>
      <rPr>
        <b/>
        <sz val="10"/>
        <rFont val="Aptos"/>
        <family val="2"/>
      </rPr>
      <t> </t>
    </r>
  </si>
  <si>
    <t>Housing </t>
  </si>
  <si>
    <t>Floor type </t>
  </si>
  <si>
    <r>
      <t xml:space="preserve">Share slums </t>
    </r>
    <r>
      <rPr>
        <sz val="9"/>
        <rFont val="Times New Roman"/>
        <family val="1"/>
      </rPr>
      <t>Share of urban population living in slums </t>
    </r>
  </si>
  <si>
    <t>Household size </t>
  </si>
  <si>
    <t>Number of rooms </t>
  </si>
  <si>
    <t>Thermal comfort </t>
  </si>
  <si>
    <t>Wall type </t>
  </si>
  <si>
    <t>Roof type </t>
  </si>
  <si>
    <t>Electricity access </t>
  </si>
  <si>
    <t>Food &amp; nutrition </t>
  </si>
  <si>
    <t>Age of household members </t>
  </si>
  <si>
    <t>Weight/heigh of household members </t>
  </si>
  <si>
    <t>Food preparation </t>
  </si>
  <si>
    <t>Use of modern cooking fuels </t>
  </si>
  <si>
    <t>Possession of fridge </t>
  </si>
  <si>
    <t>Water </t>
  </si>
  <si>
    <t>Main water source (based on WASH criteria) </t>
  </si>
  <si>
    <t>Sanitation </t>
  </si>
  <si>
    <t>Type of toilet (based on WASH criteria) </t>
  </si>
  <si>
    <t>Health Care </t>
  </si>
  <si>
    <t>Reason for not using health care related to accessibility issues  </t>
  </si>
  <si>
    <t>Education  </t>
  </si>
  <si>
    <t>Highest level of schooling </t>
  </si>
  <si>
    <t>Social Connectedness </t>
  </si>
  <si>
    <r>
      <t>House</t>
    </r>
    <r>
      <rPr>
        <u/>
        <sz val="9"/>
        <color rgb="FF0078D4"/>
        <rFont val="Times New Roman"/>
        <family val="1"/>
      </rPr>
      <t>h</t>
    </r>
    <r>
      <rPr>
        <sz val="9"/>
        <rFont val="Times New Roman"/>
        <family val="1"/>
      </rPr>
      <t>ol</t>
    </r>
    <r>
      <rPr>
        <u/>
        <sz val="9"/>
        <color rgb="FF0078D4"/>
        <rFont val="Times New Roman"/>
        <family val="1"/>
      </rPr>
      <t>d</t>
    </r>
    <r>
      <rPr>
        <sz val="9"/>
        <rFont val="Times New Roman"/>
        <family val="1"/>
      </rPr>
      <t>s information assets (e.g. radio, tv, computer) </t>
    </r>
  </si>
  <si>
    <t>Communication assets (e.g. phone or mobile) </t>
  </si>
  <si>
    <t>Physical Connectedness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</si>
</sst>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b/>
      <sz val="11"/>
      <color theme="1"/>
      <name val="Aptos Narrow"/>
      <family val="2"/>
      <scheme val="minor"/>
    </font>
    <font>
      <sz val="11"/>
      <color theme="2" tint="-0.499984740745262"/>
      <name val="Aptos Narrow"/>
      <family val="2"/>
      <scheme val="minor"/>
    </font>
    <font>
      <sz val="11"/>
      <color theme="2" tint="-0.249977111117893"/>
      <name val="Aptos Narrow"/>
      <family val="2"/>
      <scheme val="minor"/>
    </font>
    <font>
      <sz val="11"/>
      <name val="Aptos Narrow"/>
      <family val="2"/>
      <scheme val="minor"/>
    </font>
    <font>
      <i/>
      <sz val="11"/>
      <color theme="1"/>
      <name val="Aptos Narrow"/>
      <family val="2"/>
      <scheme val="minor"/>
    </font>
    <font>
      <sz val="12"/>
      <color theme="1"/>
      <name val="Calibri"/>
      <family val="2"/>
    </font>
    <font>
      <u/>
      <sz val="11"/>
      <color theme="10"/>
      <name val="Aptos Narrow"/>
      <family val="2"/>
      <scheme val="minor"/>
    </font>
    <font>
      <b/>
      <sz val="10"/>
      <name val="Aptos"/>
      <family val="2"/>
    </font>
    <font>
      <b/>
      <strike/>
      <sz val="10"/>
      <color rgb="FF0078D4"/>
      <name val="Aptos"/>
      <family val="2"/>
    </font>
    <font>
      <b/>
      <u/>
      <sz val="10"/>
      <color rgb="FF0078D4"/>
      <name val="Aptos"/>
      <family val="2"/>
    </font>
    <font>
      <b/>
      <sz val="9"/>
      <name val="Times New Roman"/>
      <family val="1"/>
    </font>
    <font>
      <sz val="9"/>
      <name val="Times New Roman"/>
      <family val="1"/>
    </font>
    <font>
      <strike/>
      <sz val="9"/>
      <color rgb="FF0078D4"/>
      <name val="Times New Roman"/>
      <family val="1"/>
    </font>
    <font>
      <sz val="9"/>
      <color rgb="FF000000"/>
      <name val="Times New Roman"/>
      <family val="1"/>
    </font>
    <font>
      <u/>
      <sz val="9"/>
      <color rgb="FF0078D4"/>
      <name val="Times New Roman"/>
      <family val="1"/>
    </font>
  </fonts>
  <fills count="9">
    <fill>
      <patternFill patternType="none"/>
    </fill>
    <fill>
      <patternFill patternType="gray125"/>
    </fill>
    <fill>
      <patternFill patternType="solid">
        <fgColor theme="5"/>
        <bgColor indexed="64"/>
      </patternFill>
    </fill>
    <fill>
      <patternFill patternType="solid">
        <fgColor theme="3" tint="0.499984740745262"/>
        <bgColor indexed="64"/>
      </patternFill>
    </fill>
    <fill>
      <patternFill patternType="solid">
        <fgColor theme="9"/>
        <bgColor indexed="64"/>
      </patternFill>
    </fill>
    <fill>
      <patternFill patternType="solid">
        <fgColor theme="4" tint="0.59999389629810485"/>
        <bgColor indexed="64"/>
      </patternFill>
    </fill>
    <fill>
      <patternFill patternType="solid">
        <fgColor theme="3" tint="0.89999084444715716"/>
        <bgColor indexed="64"/>
      </patternFill>
    </fill>
    <fill>
      <patternFill patternType="solid">
        <fgColor theme="0" tint="-0.249977111117893"/>
        <bgColor indexed="64"/>
      </patternFill>
    </fill>
    <fill>
      <patternFill patternType="solid">
        <fgColor rgb="FFFFFF00"/>
        <bgColor indexed="64"/>
      </patternFill>
    </fill>
  </fills>
  <borders count="29">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right/>
      <top style="thin">
        <color indexed="64"/>
      </top>
      <bottom/>
      <diagonal/>
    </border>
    <border>
      <left style="medium">
        <color rgb="FF999999"/>
      </left>
      <right style="medium">
        <color rgb="FF999999"/>
      </right>
      <top style="medium">
        <color rgb="FF999999"/>
      </top>
      <bottom style="medium">
        <color rgb="FF999999"/>
      </bottom>
      <diagonal/>
    </border>
    <border>
      <left style="medium">
        <color rgb="FF999999"/>
      </left>
      <right style="medium">
        <color rgb="FF999999"/>
      </right>
      <top style="medium">
        <color rgb="FF999999"/>
      </top>
      <bottom/>
      <diagonal/>
    </border>
    <border>
      <left style="medium">
        <color rgb="FF999999"/>
      </left>
      <right style="medium">
        <color rgb="FF999999"/>
      </right>
      <top/>
      <bottom/>
      <diagonal/>
    </border>
    <border>
      <left style="medium">
        <color rgb="FF999999"/>
      </left>
      <right style="medium">
        <color rgb="FF999999"/>
      </right>
      <top/>
      <bottom style="medium">
        <color rgb="FF999999"/>
      </bottom>
      <diagonal/>
    </border>
    <border>
      <left style="thin">
        <color rgb="FF000000"/>
      </left>
      <right style="medium">
        <color rgb="FF999999"/>
      </right>
      <top/>
      <bottom/>
      <diagonal/>
    </border>
    <border>
      <left/>
      <right style="thin">
        <color rgb="FF000000"/>
      </right>
      <top/>
      <bottom/>
      <diagonal/>
    </border>
    <border>
      <left style="thin">
        <color rgb="FF000000"/>
      </left>
      <right style="medium">
        <color rgb="FF999999"/>
      </right>
      <top/>
      <bottom style="medium">
        <color rgb="FF999999"/>
      </bottom>
      <diagonal/>
    </border>
    <border>
      <left style="thin">
        <color rgb="FF000000"/>
      </left>
      <right style="medium">
        <color rgb="FF999999"/>
      </right>
      <top/>
      <bottom style="thin">
        <color rgb="FF000000"/>
      </bottom>
      <diagonal/>
    </border>
    <border>
      <left/>
      <right style="thin">
        <color rgb="FF000000"/>
      </right>
      <top/>
      <bottom style="thin">
        <color rgb="FF000000"/>
      </bottom>
      <diagonal/>
    </border>
    <border>
      <left style="thin">
        <color rgb="FF000000"/>
      </left>
      <right style="medium">
        <color rgb="FF999999"/>
      </right>
      <top style="medium">
        <color rgb="FF999999"/>
      </top>
      <bottom/>
      <diagonal/>
    </border>
    <border>
      <left style="thin">
        <color indexed="64"/>
      </left>
      <right style="thin">
        <color indexed="64"/>
      </right>
      <top style="thin">
        <color indexed="64"/>
      </top>
      <bottom style="thin">
        <color indexed="64"/>
      </bottom>
      <diagonal/>
    </border>
    <border>
      <left style="thin">
        <color rgb="FF000000"/>
      </left>
      <right style="medium">
        <color rgb="FF999999"/>
      </right>
      <top style="thin">
        <color rgb="FF000000"/>
      </top>
      <bottom style="thick">
        <color rgb="FF666666"/>
      </bottom>
      <diagonal/>
    </border>
    <border>
      <left style="medium">
        <color rgb="FF999999"/>
      </left>
      <right style="medium">
        <color rgb="FF999999"/>
      </right>
      <top style="thin">
        <color rgb="FF000000"/>
      </top>
      <bottom style="thick">
        <color rgb="FF666666"/>
      </bottom>
      <diagonal/>
    </border>
    <border>
      <left style="medium">
        <color rgb="FF999999"/>
      </left>
      <right style="thin">
        <color rgb="FF000000"/>
      </right>
      <top style="thin">
        <color rgb="FF000000"/>
      </top>
      <bottom style="thick">
        <color rgb="FF666666"/>
      </bottom>
      <diagonal/>
    </border>
    <border>
      <left style="medium">
        <color rgb="FF999999"/>
      </left>
      <right style="thin">
        <color rgb="FF000000"/>
      </right>
      <top style="medium">
        <color rgb="FF999999"/>
      </top>
      <bottom style="medium">
        <color rgb="FF999999"/>
      </bottom>
      <diagonal/>
    </border>
    <border>
      <left style="thin">
        <color rgb="FF000000"/>
      </left>
      <right style="medium">
        <color rgb="FF999999"/>
      </right>
      <top style="medium">
        <color rgb="FF999999"/>
      </top>
      <bottom style="medium">
        <color rgb="FF999999"/>
      </bottom>
      <diagonal/>
    </border>
    <border>
      <left style="thin">
        <color rgb="FF000000"/>
      </left>
      <right style="medium">
        <color rgb="FF999999"/>
      </right>
      <top style="medium">
        <color rgb="FF999999"/>
      </top>
      <bottom style="thin">
        <color rgb="FF000000"/>
      </bottom>
      <diagonal/>
    </border>
    <border>
      <left style="medium">
        <color rgb="FF999999"/>
      </left>
      <right style="medium">
        <color rgb="FF999999"/>
      </right>
      <top style="medium">
        <color rgb="FF999999"/>
      </top>
      <bottom style="thin">
        <color rgb="FF000000"/>
      </bottom>
      <diagonal/>
    </border>
    <border>
      <left style="medium">
        <color rgb="FF999999"/>
      </left>
      <right style="thin">
        <color rgb="FF000000"/>
      </right>
      <top style="medium">
        <color rgb="FF999999"/>
      </top>
      <bottom style="thin">
        <color rgb="FF000000"/>
      </bottom>
      <diagonal/>
    </border>
    <border>
      <left style="thin">
        <color rgb="FF000000"/>
      </left>
      <right style="medium">
        <color rgb="FF999999"/>
      </right>
      <top style="thick">
        <color rgb="FF666666"/>
      </top>
      <bottom/>
      <diagonal/>
    </border>
    <border>
      <left style="medium">
        <color rgb="FF999999"/>
      </left>
      <right style="medium">
        <color rgb="FF999999"/>
      </right>
      <top style="thick">
        <color rgb="FF666666"/>
      </top>
      <bottom/>
      <diagonal/>
    </border>
  </borders>
  <cellStyleXfs count="2">
    <xf numFmtId="0" fontId="0" fillId="0" borderId="0"/>
    <xf numFmtId="0" fontId="7" fillId="0" borderId="0" applyNumberFormat="0" applyFill="0" applyBorder="0" applyAlignment="0" applyProtection="0"/>
  </cellStyleXfs>
  <cellXfs count="114">
    <xf numFmtId="0" fontId="0" fillId="0" borderId="0" xfId="0"/>
    <xf numFmtId="0" fontId="1" fillId="0" borderId="0" xfId="0" applyFont="1"/>
    <xf numFmtId="0" fontId="0" fillId="2" borderId="0" xfId="0" applyFill="1"/>
    <xf numFmtId="0" fontId="0" fillId="3" borderId="0" xfId="0" applyFill="1"/>
    <xf numFmtId="0" fontId="0" fillId="4" borderId="0" xfId="0" applyFill="1"/>
    <xf numFmtId="0" fontId="1" fillId="5" borderId="0" xfId="0" applyFont="1" applyFill="1"/>
    <xf numFmtId="0" fontId="0" fillId="6" borderId="0" xfId="0" applyFill="1"/>
    <xf numFmtId="0" fontId="0" fillId="6" borderId="1" xfId="0" applyFill="1" applyBorder="1"/>
    <xf numFmtId="0" fontId="0" fillId="7" borderId="0" xfId="0" applyFill="1"/>
    <xf numFmtId="0" fontId="0" fillId="7" borderId="0" xfId="0" applyFill="1" applyAlignment="1">
      <alignment textRotation="90"/>
    </xf>
    <xf numFmtId="0" fontId="0" fillId="7" borderId="2" xfId="0" applyFill="1" applyBorder="1" applyAlignment="1">
      <alignment textRotation="90"/>
    </xf>
    <xf numFmtId="0" fontId="0" fillId="7" borderId="2" xfId="0" applyFill="1" applyBorder="1"/>
    <xf numFmtId="0" fontId="0" fillId="7" borderId="1" xfId="0" applyFill="1" applyBorder="1"/>
    <xf numFmtId="0" fontId="0" fillId="7" borderId="3" xfId="0" applyFill="1" applyBorder="1"/>
    <xf numFmtId="0" fontId="1" fillId="7" borderId="0" xfId="0" applyFont="1" applyFill="1"/>
    <xf numFmtId="0" fontId="1" fillId="7" borderId="2" xfId="0" applyFont="1" applyFill="1" applyBorder="1"/>
    <xf numFmtId="0" fontId="0" fillId="0" borderId="0" xfId="0" quotePrefix="1"/>
    <xf numFmtId="0" fontId="0" fillId="6" borderId="4" xfId="0" applyFill="1" applyBorder="1"/>
    <xf numFmtId="0" fontId="0" fillId="7" borderId="6" xfId="0" applyFill="1" applyBorder="1"/>
    <xf numFmtId="0" fontId="0" fillId="7" borderId="5" xfId="0" applyFill="1" applyBorder="1"/>
    <xf numFmtId="0" fontId="1" fillId="7" borderId="6" xfId="0" applyFont="1" applyFill="1" applyBorder="1"/>
    <xf numFmtId="0" fontId="0" fillId="0" borderId="6" xfId="0" applyBorder="1"/>
    <xf numFmtId="0" fontId="0" fillId="5" borderId="0" xfId="0" applyFill="1" applyAlignment="1">
      <alignment horizontal="left"/>
    </xf>
    <xf numFmtId="0" fontId="2" fillId="7" borderId="0" xfId="0" applyFont="1" applyFill="1" applyAlignment="1">
      <alignment textRotation="90"/>
    </xf>
    <xf numFmtId="0" fontId="2" fillId="7" borderId="2" xfId="0" applyFont="1" applyFill="1" applyBorder="1" applyAlignment="1">
      <alignment textRotation="90"/>
    </xf>
    <xf numFmtId="0" fontId="0" fillId="7" borderId="6" xfId="0" applyFill="1" applyBorder="1" applyAlignment="1">
      <alignment textRotation="90"/>
    </xf>
    <xf numFmtId="0" fontId="3" fillId="6" borderId="1" xfId="0" applyFont="1" applyFill="1" applyBorder="1"/>
    <xf numFmtId="0" fontId="3" fillId="6" borderId="4" xfId="0" applyFont="1" applyFill="1" applyBorder="1"/>
    <xf numFmtId="0" fontId="3" fillId="6" borderId="0" xfId="0" applyFont="1" applyFill="1"/>
    <xf numFmtId="0" fontId="4" fillId="7" borderId="0" xfId="0" applyFont="1" applyFill="1" applyAlignment="1">
      <alignment textRotation="90"/>
    </xf>
    <xf numFmtId="0" fontId="0" fillId="8" borderId="0" xfId="0" applyFill="1"/>
    <xf numFmtId="0" fontId="0" fillId="0" borderId="0" xfId="0" applyAlignment="1">
      <alignment horizontal="center"/>
    </xf>
    <xf numFmtId="0" fontId="0" fillId="0" borderId="0" xfId="0" applyAlignment="1">
      <alignment textRotation="90"/>
    </xf>
    <xf numFmtId="0" fontId="0" fillId="0" borderId="1" xfId="0" applyBorder="1" applyAlignment="1">
      <alignment horizontal="center"/>
    </xf>
    <xf numFmtId="0" fontId="0" fillId="0" borderId="1" xfId="0" applyBorder="1" applyAlignment="1">
      <alignment horizontal="center" textRotation="90"/>
    </xf>
    <xf numFmtId="0" fontId="1" fillId="0" borderId="3" xfId="0" applyFont="1" applyBorder="1"/>
    <xf numFmtId="0" fontId="0" fillId="0" borderId="2" xfId="0" applyBorder="1"/>
    <xf numFmtId="0" fontId="0" fillId="0" borderId="3" xfId="0" applyBorder="1"/>
    <xf numFmtId="0" fontId="1" fillId="0" borderId="2" xfId="0" applyFont="1" applyBorder="1"/>
    <xf numFmtId="0" fontId="1" fillId="0" borderId="0" xfId="0" applyFont="1" applyAlignment="1">
      <alignment horizontal="center"/>
    </xf>
    <xf numFmtId="0" fontId="0" fillId="6" borderId="0" xfId="0" applyFill="1" applyAlignment="1">
      <alignment horizontal="center" wrapText="1"/>
    </xf>
    <xf numFmtId="0" fontId="0" fillId="0" borderId="0" xfId="0" applyAlignment="1">
      <alignment horizontal="center"/>
    </xf>
    <xf numFmtId="0" fontId="0" fillId="6" borderId="7" xfId="0" applyFill="1" applyBorder="1" applyAlignment="1">
      <alignment horizontal="left" wrapText="1"/>
    </xf>
    <xf numFmtId="0" fontId="0" fillId="6" borderId="0" xfId="0" applyFill="1" applyAlignment="1">
      <alignment horizontal="center"/>
    </xf>
    <xf numFmtId="0" fontId="0" fillId="6" borderId="4" xfId="0" applyFill="1" applyBorder="1" applyAlignment="1">
      <alignment horizontal="left" wrapText="1"/>
    </xf>
    <xf numFmtId="0" fontId="0" fillId="6" borderId="0" xfId="0" applyFill="1" applyAlignment="1">
      <alignment horizontal="left"/>
    </xf>
    <xf numFmtId="0" fontId="0" fillId="6" borderId="4" xfId="0" applyFill="1" applyBorder="1" applyAlignment="1">
      <alignment horizontal="center"/>
    </xf>
    <xf numFmtId="0" fontId="0" fillId="6" borderId="0" xfId="0" applyFill="1" applyAlignment="1">
      <alignment horizontal="left" wrapText="1"/>
    </xf>
    <xf numFmtId="0" fontId="0" fillId="6" borderId="1" xfId="0" applyFill="1" applyBorder="1" applyAlignment="1">
      <alignment horizontal="center" wrapText="1"/>
    </xf>
    <xf numFmtId="0" fontId="0" fillId="6" borderId="1" xfId="0" applyFill="1" applyBorder="1" applyAlignment="1">
      <alignment wrapText="1"/>
    </xf>
    <xf numFmtId="0" fontId="0" fillId="6" borderId="1" xfId="0" applyFill="1" applyBorder="1" applyAlignment="1">
      <alignment horizontal="left" wrapText="1"/>
    </xf>
    <xf numFmtId="0" fontId="1" fillId="7" borderId="6" xfId="0" applyFont="1" applyFill="1" applyBorder="1" applyAlignment="1">
      <alignment horizontal="center"/>
    </xf>
    <xf numFmtId="0" fontId="1" fillId="7" borderId="0" xfId="0" applyFont="1" applyFill="1" applyAlignment="1">
      <alignment horizontal="center"/>
    </xf>
    <xf numFmtId="0" fontId="1" fillId="5" borderId="0" xfId="0" applyFont="1" applyFill="1" applyAlignment="1">
      <alignment horizontal="center"/>
    </xf>
    <xf numFmtId="0" fontId="1" fillId="7" borderId="2" xfId="0" applyFont="1" applyFill="1" applyBorder="1" applyAlignment="1">
      <alignment horizontal="center"/>
    </xf>
    <xf numFmtId="0" fontId="3" fillId="6" borderId="1" xfId="0" applyFont="1" applyFill="1" applyBorder="1" applyAlignment="1">
      <alignment horizontal="left" wrapText="1"/>
    </xf>
    <xf numFmtId="0" fontId="3" fillId="6" borderId="0" xfId="0" applyFont="1" applyFill="1" applyAlignment="1">
      <alignment horizontal="center"/>
    </xf>
    <xf numFmtId="0" fontId="3" fillId="6" borderId="1" xfId="0" applyFont="1" applyFill="1" applyBorder="1" applyAlignment="1">
      <alignment wrapText="1"/>
    </xf>
    <xf numFmtId="0" fontId="3" fillId="6" borderId="4" xfId="0" applyFont="1" applyFill="1" applyBorder="1" applyAlignment="1">
      <alignment horizontal="left" wrapText="1"/>
    </xf>
    <xf numFmtId="0" fontId="3" fillId="6" borderId="0" xfId="0" applyFont="1" applyFill="1" applyAlignment="1">
      <alignment horizontal="left"/>
    </xf>
    <xf numFmtId="0" fontId="0" fillId="0" borderId="0" xfId="0" applyAlignment="1"/>
    <xf numFmtId="0" fontId="1" fillId="0" borderId="0" xfId="0" applyFont="1" applyAlignment="1">
      <alignment horizontal="center" vertical="center" wrapText="1"/>
    </xf>
    <xf numFmtId="0" fontId="6" fillId="0" borderId="13" xfId="0" applyFont="1" applyBorder="1" applyAlignment="1">
      <alignment vertical="center" wrapText="1"/>
    </xf>
    <xf numFmtId="0" fontId="6" fillId="0" borderId="14" xfId="0" applyFont="1" applyBorder="1" applyAlignment="1">
      <alignment vertical="center" wrapText="1"/>
    </xf>
    <xf numFmtId="0" fontId="6" fillId="0" borderId="15" xfId="0" applyFont="1" applyBorder="1" applyAlignment="1">
      <alignment vertical="center" wrapText="1"/>
    </xf>
    <xf numFmtId="0" fontId="6" fillId="0" borderId="16" xfId="0" applyFont="1" applyBorder="1" applyAlignment="1">
      <alignment vertical="center" wrapText="1"/>
    </xf>
    <xf numFmtId="0" fontId="1" fillId="0" borderId="0" xfId="0" applyFont="1" applyBorder="1" applyAlignment="1">
      <alignment horizontal="center" vertical="center" wrapText="1"/>
    </xf>
    <xf numFmtId="0" fontId="0" fillId="0" borderId="0" xfId="0" applyAlignment="1">
      <alignment wrapText="1"/>
    </xf>
    <xf numFmtId="0" fontId="1" fillId="0" borderId="18" xfId="0" applyFont="1" applyBorder="1" applyAlignment="1">
      <alignment horizontal="center" vertical="center" wrapText="1"/>
    </xf>
    <xf numFmtId="0" fontId="0" fillId="0" borderId="18" xfId="0" applyBorder="1" applyAlignment="1">
      <alignment horizontal="center" vertical="center" wrapText="1"/>
    </xf>
    <xf numFmtId="0" fontId="1" fillId="0" borderId="18" xfId="0" applyFont="1" applyBorder="1" applyAlignment="1">
      <alignment horizontal="left" vertical="center" wrapText="1"/>
    </xf>
    <xf numFmtId="0" fontId="6" fillId="0" borderId="18" xfId="0" applyFont="1" applyBorder="1" applyAlignment="1">
      <alignment vertical="center" wrapText="1"/>
    </xf>
    <xf numFmtId="0" fontId="0" fillId="0" borderId="18" xfId="0" applyBorder="1" applyAlignment="1">
      <alignment horizontal="center" vertical="center" wrapText="1"/>
    </xf>
    <xf numFmtId="0" fontId="1" fillId="0" borderId="18" xfId="0" applyFont="1" applyBorder="1" applyAlignment="1">
      <alignment horizontal="center" vertical="center" wrapText="1"/>
    </xf>
    <xf numFmtId="0" fontId="1" fillId="0" borderId="18" xfId="0" applyFont="1" applyBorder="1" applyAlignment="1">
      <alignment horizontal="left" vertical="center" wrapText="1"/>
    </xf>
    <xf numFmtId="0" fontId="0" fillId="0" borderId="18" xfId="0" applyBorder="1"/>
    <xf numFmtId="0" fontId="7" fillId="0" borderId="0" xfId="1"/>
    <xf numFmtId="0" fontId="7" fillId="0" borderId="0" xfId="1" applyAlignment="1">
      <alignment horizontal="left"/>
    </xf>
    <xf numFmtId="0" fontId="6" fillId="0" borderId="0" xfId="0" applyFont="1" applyBorder="1" applyAlignment="1">
      <alignment horizontal="center" vertical="center" wrapText="1"/>
    </xf>
    <xf numFmtId="0" fontId="6" fillId="0" borderId="6" xfId="0" applyFont="1" applyBorder="1" applyAlignment="1">
      <alignment horizontal="center" vertical="center" wrapText="1"/>
    </xf>
    <xf numFmtId="0" fontId="6" fillId="0" borderId="0" xfId="0" quotePrefix="1" applyFont="1" applyBorder="1" applyAlignment="1">
      <alignment horizontal="center" vertical="center" wrapText="1"/>
    </xf>
    <xf numFmtId="0" fontId="12" fillId="0" borderId="8" xfId="0" applyFont="1" applyBorder="1" applyAlignment="1">
      <alignment horizontal="left" vertical="center" wrapText="1"/>
    </xf>
    <xf numFmtId="0" fontId="14" fillId="0" borderId="8" xfId="0" applyFont="1" applyBorder="1" applyAlignment="1">
      <alignment horizontal="left" vertical="center" wrapText="1"/>
    </xf>
    <xf numFmtId="0" fontId="14" fillId="0" borderId="8" xfId="0" applyFont="1" applyBorder="1" applyAlignment="1">
      <alignment horizontal="justify" vertical="center" wrapText="1"/>
    </xf>
    <xf numFmtId="0" fontId="12" fillId="0" borderId="8" xfId="0" applyFont="1" applyBorder="1" applyAlignment="1">
      <alignment horizontal="justify" vertical="center" wrapText="1"/>
    </xf>
    <xf numFmtId="0" fontId="8" fillId="0" borderId="19" xfId="0" applyFont="1" applyBorder="1" applyAlignment="1">
      <alignment horizontal="center" vertical="center" wrapText="1"/>
    </xf>
    <xf numFmtId="0" fontId="8" fillId="0" borderId="20" xfId="0" applyFont="1" applyBorder="1" applyAlignment="1">
      <alignment horizontal="center" vertical="center" wrapText="1"/>
    </xf>
    <xf numFmtId="0" fontId="10" fillId="0" borderId="21" xfId="0" applyFont="1" applyBorder="1" applyAlignment="1">
      <alignment horizontal="center" vertical="center" wrapText="1"/>
    </xf>
    <xf numFmtId="0" fontId="12" fillId="0" borderId="22" xfId="0" applyFont="1" applyBorder="1" applyAlignment="1">
      <alignment horizontal="left" vertical="center" wrapText="1"/>
    </xf>
    <xf numFmtId="0" fontId="14" fillId="0" borderId="22" xfId="0" applyFont="1" applyBorder="1" applyAlignment="1">
      <alignment horizontal="left" vertical="center" wrapText="1"/>
    </xf>
    <xf numFmtId="0" fontId="14" fillId="0" borderId="22" xfId="0" applyFont="1" applyBorder="1" applyAlignment="1">
      <alignment horizontal="justify" vertical="center" wrapText="1"/>
    </xf>
    <xf numFmtId="0" fontId="11" fillId="0" borderId="23" xfId="0" applyFont="1" applyBorder="1" applyAlignment="1">
      <alignment horizontal="justify" vertical="center" wrapText="1"/>
    </xf>
    <xf numFmtId="0" fontId="11" fillId="0" borderId="24" xfId="0" applyFont="1" applyBorder="1" applyAlignment="1">
      <alignment horizontal="justify" vertical="center" wrapText="1"/>
    </xf>
    <xf numFmtId="0" fontId="12" fillId="0" borderId="25" xfId="0" applyFont="1" applyBorder="1" applyAlignment="1">
      <alignment horizontal="justify" vertical="center" wrapText="1"/>
    </xf>
    <xf numFmtId="0" fontId="12" fillId="0" borderId="26" xfId="0" applyFont="1" applyBorder="1" applyAlignment="1">
      <alignment horizontal="justify" vertical="center" wrapText="1"/>
    </xf>
    <xf numFmtId="0" fontId="11" fillId="0" borderId="17" xfId="0" applyFont="1" applyBorder="1" applyAlignment="1">
      <alignment horizontal="center" vertical="center" wrapText="1"/>
    </xf>
    <xf numFmtId="0" fontId="11" fillId="0" borderId="27"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14" xfId="0" applyFont="1" applyBorder="1" applyAlignment="1">
      <alignment horizontal="center" vertical="center" wrapText="1"/>
    </xf>
    <xf numFmtId="0" fontId="13" fillId="0" borderId="28" xfId="0" applyFont="1" applyBorder="1" applyAlignment="1">
      <alignment horizontal="left" vertical="center" wrapText="1"/>
    </xf>
    <xf numFmtId="0" fontId="13" fillId="0" borderId="10" xfId="0" applyFont="1" applyBorder="1" applyAlignment="1">
      <alignment horizontal="left" vertical="center" wrapText="1"/>
    </xf>
    <xf numFmtId="0" fontId="13" fillId="0" borderId="11" xfId="0" applyFont="1" applyBorder="1" applyAlignment="1">
      <alignment horizontal="left" vertical="center" wrapText="1"/>
    </xf>
    <xf numFmtId="0" fontId="14" fillId="0" borderId="9" xfId="0" applyFont="1" applyBorder="1" applyAlignment="1">
      <alignment horizontal="left" vertical="center" wrapText="1"/>
    </xf>
    <xf numFmtId="0" fontId="14" fillId="0" borderId="10" xfId="0" applyFont="1" applyBorder="1" applyAlignment="1">
      <alignment horizontal="left" vertical="center" wrapText="1"/>
    </xf>
    <xf numFmtId="0" fontId="14" fillId="0" borderId="11" xfId="0" applyFont="1" applyBorder="1" applyAlignment="1">
      <alignment horizontal="left" vertical="center" wrapText="1"/>
    </xf>
    <xf numFmtId="0" fontId="12" fillId="0" borderId="9" xfId="0" applyFont="1" applyBorder="1" applyAlignment="1">
      <alignment horizontal="left" vertical="center" wrapText="1"/>
    </xf>
    <xf numFmtId="0" fontId="12" fillId="0" borderId="10" xfId="0" applyFont="1" applyBorder="1" applyAlignment="1">
      <alignment horizontal="left" vertical="center" wrapText="1"/>
    </xf>
    <xf numFmtId="0" fontId="12" fillId="0" borderId="11" xfId="0" applyFont="1" applyBorder="1" applyAlignment="1">
      <alignment horizontal="left" vertical="center" wrapText="1"/>
    </xf>
    <xf numFmtId="0" fontId="11" fillId="0" borderId="17" xfId="0" applyFont="1" applyBorder="1" applyAlignment="1">
      <alignment horizontal="justify" vertical="center" wrapText="1"/>
    </xf>
    <xf numFmtId="0" fontId="11" fillId="0" borderId="14" xfId="0" applyFont="1" applyBorder="1" applyAlignment="1">
      <alignment horizontal="justify" vertical="center" wrapText="1"/>
    </xf>
    <xf numFmtId="0" fontId="12" fillId="0" borderId="9" xfId="0" applyFont="1" applyBorder="1" applyAlignment="1">
      <alignment horizontal="justify" vertical="center" wrapText="1"/>
    </xf>
    <xf numFmtId="0" fontId="12" fillId="0" borderId="11" xfId="0" applyFont="1" applyBorder="1" applyAlignment="1">
      <alignment horizontal="justify" vertical="center" wrapText="1"/>
    </xf>
    <xf numFmtId="0" fontId="11" fillId="0" borderId="12" xfId="0" applyFont="1" applyBorder="1" applyAlignment="1">
      <alignment horizontal="justify" vertical="center" wrapText="1"/>
    </xf>
    <xf numFmtId="0" fontId="12" fillId="0" borderId="10" xfId="0" applyFont="1" applyBorder="1" applyAlignment="1">
      <alignment horizontal="justify" vertical="center" wrapText="1"/>
    </xf>
  </cellXfs>
  <cellStyles count="2">
    <cellStyle name="Hyperlink" xfId="1" builtinId="8"/>
    <cellStyle name="Normal" xfId="0" builtinId="0"/>
  </cellStyles>
  <dxfs count="3">
    <dxf>
      <fill>
        <patternFill>
          <bgColor theme="9" tint="0.59996337778862885"/>
        </patternFill>
      </fill>
    </dxf>
    <dxf>
      <fill>
        <patternFill>
          <bgColor theme="9" tint="0.59996337778862885"/>
        </patternFill>
      </fill>
    </dxf>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1c3256d208fb6548/Personlig/Aske%20Banke%20Consultancy/YALE/Metodeartikel_WorldDevelopmentJournal/WorldDevelopmentArticleGit/Data/SPI%20Time%20Series%201990-2020%20data%20file.xlsx" TargetMode="External"/><Relationship Id="rId1" Type="http://schemas.openxmlformats.org/officeDocument/2006/relationships/externalLinkPath" Target="Data/SPI%20Time%20Series%201990-2020%20data%20fi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LE NOTES"/>
      <sheetName val="1990-2020 Time-series data"/>
      <sheetName val="Indicator definitions"/>
    </sheetNames>
    <sheetDataSet>
      <sheetData sheetId="0"/>
      <sheetData sheetId="1">
        <row r="2">
          <cell r="Y2" t="str">
            <v xml:space="preserve">Child stunting (% of pop.) </v>
          </cell>
          <cell r="Z2" t="str">
            <v>Deaths from infectious diseases (deaths/100,000)</v>
          </cell>
          <cell r="AA2" t="str">
            <v xml:space="preserve">Maternal mortality  (deaths/100,000 live births) </v>
          </cell>
          <cell r="AB2" t="str">
            <v xml:space="preserve">Nutritional deficiencies (% of pop.) </v>
          </cell>
          <cell r="AC2" t="str">
            <v xml:space="preserve">Diet low in fruits and vegetables (0=low risk; 100=high risk) </v>
          </cell>
          <cell r="AD2" t="str">
            <v xml:space="preserve">Child mortality (deaths/1,000 live births) </v>
          </cell>
          <cell r="AE2" t="str">
            <v xml:space="preserve">No access to a handwashing facility (0=low risk; 100=high risk) </v>
          </cell>
          <cell r="AF2" t="str">
            <v>Deaths from unsafe water, sanitation and hygiene (deaths/100,000)</v>
          </cell>
          <cell r="AG2" t="str">
            <v xml:space="preserve">Improved sanitation (proportion of pop.) </v>
          </cell>
          <cell r="AH2" t="str">
            <v xml:space="preserve">Improved water source (proportion of pop.) </v>
          </cell>
          <cell r="AI2" t="str">
            <v>Deaths from household air pollution (deaths/100,000)</v>
          </cell>
          <cell r="AJ2" t="str">
            <v xml:space="preserve">Prevalence of cooking with coal/biomass (proportion of pop.) </v>
          </cell>
          <cell r="AK2" t="str">
            <v xml:space="preserve">Access to electricity (% of pop.) </v>
          </cell>
          <cell r="AL2" t="str">
            <v>Deaths from road injuries (deaths/100,000)</v>
          </cell>
          <cell r="AM2" t="str">
            <v xml:space="preserve">Political violence (0=no violence; 4=violence often) </v>
          </cell>
          <cell r="AN2" t="str">
            <v>Political killings and torture (0=low freedom; 1=high freedom)</v>
          </cell>
          <cell r="AO2" t="str">
            <v xml:space="preserve">Intimate partner violence against women (% of women aged 15+) </v>
          </cell>
          <cell r="AP2" t="str">
            <v>Interpersonal violence  (deaths/100,000)</v>
          </cell>
          <cell r="AQ2" t="str">
            <v xml:space="preserve">Population with no education (proportion of pop.) </v>
          </cell>
          <cell r="AR2" t="str">
            <v xml:space="preserve">Gender parity in basic education (distance from parity) </v>
          </cell>
          <cell r="AS2" t="str">
            <v xml:space="preserve">Equal access to quality education (0=unequal; 4=equal) </v>
          </cell>
          <cell r="AT2" t="str">
            <v>Mean years of schooling (years)</v>
          </cell>
          <cell r="AU2" t="str">
            <v>Alternative sources of information (0=low; 1=high)</v>
          </cell>
          <cell r="AV2" t="str">
            <v xml:space="preserve">Internet users (% of pop.) </v>
          </cell>
          <cell r="AW2" t="str">
            <v xml:space="preserve">Mobile and landline telephone subscriptions (subscriptions/100 people) </v>
          </cell>
          <cell r="AX2" t="str">
            <v>Life expectancy at 60 (years)</v>
          </cell>
          <cell r="AY2" t="str">
            <v>Premature deaths from non-communicable diseases (deaths/100,000)</v>
          </cell>
          <cell r="AZ2" t="str">
            <v xml:space="preserve">Equal access to quality healthcare (0=unequal; 4=equal) </v>
          </cell>
          <cell r="BA2" t="str">
            <v xml:space="preserve">Universal health coverage (% of pop.) </v>
          </cell>
          <cell r="BB2" t="str">
            <v>Deaths from outdoor air pollution (deaths/100,000)</v>
          </cell>
          <cell r="BC2" t="str">
            <v>Particulate matter (2.5) pollution (mean annual exposure, µg/m3)</v>
          </cell>
          <cell r="BD2" t="str">
            <v>Deaths from lead exposure (deaths/100,000)</v>
          </cell>
          <cell r="BE2" t="str">
            <v>Species protection (0=low; 100=high)</v>
          </cell>
          <cell r="BF2" t="str">
            <v xml:space="preserve">Freedom of religion (0=no freedom; 4=full freedom) </v>
          </cell>
          <cell r="BG2" t="str">
            <v xml:space="preserve">Property rights for women (0=no rights; 5=full rights) </v>
          </cell>
          <cell r="BH2" t="str">
            <v xml:space="preserve">Freedom of assembly (0=no freedom; 4=full freedom) </v>
          </cell>
          <cell r="BI2" t="str">
            <v>Access to justice (0=nonexistent; 1=observed)</v>
          </cell>
          <cell r="BJ2" t="str">
            <v>Freedom of discussion (0=low; 1=high)</v>
          </cell>
          <cell r="BK2" t="str">
            <v>Political rights (1=full rights; 7=no rights)</v>
          </cell>
          <cell r="BL2" t="str">
            <v>Public sector corruption (0=low corruption; 1=high corruption)</v>
          </cell>
          <cell r="BM2" t="str">
            <v>Freedom of domestic movement (0=low; 1=high)</v>
          </cell>
          <cell r="BN2" t="str">
            <v>Satisfied demand for contraception (% satisfied demand)</v>
          </cell>
          <cell r="BO2" t="str">
            <v>Early marriage (% of married women aged 15-19)</v>
          </cell>
          <cell r="BP2" t="str">
            <v xml:space="preserve">Vulnerable employment (% of total employment) </v>
          </cell>
          <cell r="BQ2" t="str">
            <v>Equal protection of social groups (0=low; 1=high)</v>
          </cell>
          <cell r="BR2" t="str">
            <v>Equal access to power (0=low; 1=high)</v>
          </cell>
          <cell r="BS2" t="str">
            <v xml:space="preserve">Power distributed by sexual orientation (0=extremely unequal; 3=equal) </v>
          </cell>
          <cell r="BT2" t="str">
            <v xml:space="preserve">Access to public services distributed by social group (0=extremely unequal; 4=equal) </v>
          </cell>
          <cell r="BU2" t="str">
            <v xml:space="preserve">Population with advanced education (proportion of pop.) </v>
          </cell>
          <cell r="BV2" t="str">
            <v xml:space="preserve">Gender parity in advanced education (distance from parity) </v>
          </cell>
          <cell r="BW2" t="str">
            <v>Respect for academic freedom (0=low; 1=high)</v>
          </cell>
          <cell r="BX2" t="str">
            <v>Years of tertiary schooling (years)</v>
          </cell>
        </row>
      </sheetData>
      <sheetData sheetId="2"/>
    </sheetDataSet>
  </externalBook>
</externalLink>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
  <rv s="0">
    <v>0</v>
    <v>5</v>
  </rv>
  <rv s="0">
    <v>1</v>
    <v>5</v>
  </rv>
  <rv s="0">
    <v>2</v>
    <v>5</v>
  </rv>
  <rv s="0">
    <v>3</v>
    <v>5</v>
  </rv>
  <rv s="0">
    <v>4</v>
    <v>5</v>
  </rv>
  <rv s="0">
    <v>5</v>
    <v>5</v>
  </rv>
  <rv s="0">
    <v>6</v>
    <v>5</v>
  </rv>
  <rv s="0">
    <v>7</v>
    <v>5</v>
  </rv>
  <rv s="0">
    <v>8</v>
    <v>5</v>
  </rv>
  <rv s="0">
    <v>9</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data.worldbank.org/indicator/SH.STA.SMSS.ZS" TargetMode="External"/><Relationship Id="rId1" Type="http://schemas.openxmlformats.org/officeDocument/2006/relationships/hyperlink" Target="https://databank.worldbank.org/source/world-development-indicators/Series/SH.MED.BEDS.Z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0D2FE-8ED6-42BE-A2D0-9D14C5AD2AFE}">
  <sheetPr>
    <tabColor theme="2" tint="-0.249977111117893"/>
  </sheetPr>
  <dimension ref="A1:AY53"/>
  <sheetViews>
    <sheetView topLeftCell="AN22" zoomScale="190" zoomScaleNormal="190" workbookViewId="0">
      <selection activeCell="AA4" sqref="AA4"/>
    </sheetView>
  </sheetViews>
  <sheetFormatPr defaultRowHeight="15" x14ac:dyDescent="0.25"/>
  <cols>
    <col min="2" max="2" width="35.28515625" customWidth="1"/>
    <col min="4" max="4" width="6" customWidth="1"/>
    <col min="5" max="16" width="4.28515625" customWidth="1"/>
    <col min="19" max="19" width="8.85546875" customWidth="1"/>
  </cols>
  <sheetData>
    <row r="1" spans="1:24" x14ac:dyDescent="0.25">
      <c r="A1" s="1" t="s">
        <v>29</v>
      </c>
    </row>
    <row r="3" spans="1:24" x14ac:dyDescent="0.25">
      <c r="B3" s="11" t="s">
        <v>45</v>
      </c>
      <c r="C3" s="52" t="s">
        <v>57</v>
      </c>
      <c r="D3" s="52"/>
      <c r="E3" s="52"/>
      <c r="F3" s="52"/>
      <c r="G3" s="52"/>
      <c r="H3" s="54"/>
      <c r="I3" s="51" t="s">
        <v>56</v>
      </c>
      <c r="J3" s="52"/>
      <c r="K3" s="8"/>
      <c r="L3" s="8"/>
      <c r="M3" s="8"/>
      <c r="N3" s="8"/>
      <c r="O3" s="8"/>
      <c r="T3" s="22" t="s">
        <v>51</v>
      </c>
      <c r="U3" s="22"/>
      <c r="V3" s="22"/>
      <c r="W3" s="22"/>
      <c r="X3" s="22"/>
    </row>
    <row r="4" spans="1:24" ht="221.45" customHeight="1" x14ac:dyDescent="0.25">
      <c r="B4" s="15" t="s">
        <v>16</v>
      </c>
      <c r="C4" s="9" t="str" cm="1">
        <f t="array" ref="C4:Q4">Experiments!C1:Q1</f>
        <v>BHN_FWB</v>
      </c>
      <c r="D4" s="9" t="str">
        <v>BHN_FWB_AllExt</v>
      </c>
      <c r="E4" s="9" t="str">
        <v>Few_indicators_closest_DLS_coverage</v>
      </c>
      <c r="F4" s="9" t="str">
        <v>Few_indicators_SPI_preferred</v>
      </c>
      <c r="G4" s="9" t="str">
        <v>No_non_DLS</v>
      </c>
      <c r="H4" s="10" t="str">
        <v>Only_%_of_pop</v>
      </c>
      <c r="I4" s="9" t="str">
        <v>Few_indicators_closest_DLS_coverage_90</v>
      </c>
      <c r="J4" s="9" t="str">
        <v>Few_indicators_SPI_preferred_90</v>
      </c>
      <c r="K4" s="9" t="str">
        <v>Few_indicators_closeDLS_subPrimSchool</v>
      </c>
      <c r="L4" s="9" t="str">
        <v>No_non_DLS_90</v>
      </c>
      <c r="M4" s="9" t="str">
        <v>Few_Indicators_subWatSani</v>
      </c>
      <c r="N4" s="9" t="str">
        <v>Only_OPP</v>
      </c>
      <c r="O4" s="9" t="str">
        <v>Baseline</v>
      </c>
      <c r="P4" s="9" t="str">
        <v>No_nonDLS_limExt</v>
      </c>
      <c r="Q4" s="9" t="str">
        <v>BHN</v>
      </c>
      <c r="T4" s="40" t="s">
        <v>53</v>
      </c>
      <c r="U4" s="40"/>
      <c r="V4" s="40"/>
      <c r="W4" s="40"/>
      <c r="X4" s="40"/>
    </row>
    <row r="5" spans="1:24" x14ac:dyDescent="0.25">
      <c r="B5" s="11" t="str" cm="1">
        <f t="array" ref="B5:B15">_xlfn.UNIQUE('Overview of indicators and DLS'!C4:C67)</f>
        <v>Food &amp; Nutrition</v>
      </c>
      <c r="C5" s="8" cm="1">
        <f t="array" ref="C5">SUMPRODUCT(('Overview of indicators and DLS'!$C$4:$C$66=$B5)*(Experiments!C$2:C$64=1))</f>
        <v>3</v>
      </c>
      <c r="D5" s="8" cm="1">
        <f t="array" ref="D5">SUMPRODUCT(('Overview of indicators and DLS'!$C$4:$C$66=$B5)*(Experiments!D$2:D$64=1))</f>
        <v>5</v>
      </c>
      <c r="E5" s="8" cm="1">
        <f t="array" ref="E5">SUMPRODUCT(('Overview of indicators and DLS'!$C$4:$C$66=$B5)*(Experiments!E$2:E$64=1))</f>
        <v>1</v>
      </c>
      <c r="F5" s="8" cm="1">
        <f t="array" ref="F5">SUMPRODUCT(('Overview of indicators and DLS'!$C$4:$C$66=$B5)*(Experiments!F$2:F$64=1))</f>
        <v>1</v>
      </c>
      <c r="G5" s="8" cm="1">
        <f t="array" ref="G5">SUMPRODUCT(('Overview of indicators and DLS'!$C$4:$C$66=$B5)*(Experiments!G$2:G$64=1))</f>
        <v>5</v>
      </c>
      <c r="H5" s="8" cm="1">
        <f t="array" ref="H5">SUMPRODUCT(('Overview of indicators and DLS'!$C$4:$C$66=$B5)*(Experiments!H$2:H$64=1))</f>
        <v>2</v>
      </c>
      <c r="I5" s="18" cm="1">
        <f t="array" ref="I5">SUMPRODUCT(('Overview of indicators and DLS'!$C$4:$C$66=$B5)*(Experiments!I$2:I$64=1))</f>
        <v>1</v>
      </c>
      <c r="J5" s="8" cm="1">
        <f t="array" ref="J5">SUMPRODUCT(('Overview of indicators and DLS'!$C$4:$C$66=$B5)*(Experiments!J$2:J$64=1))</f>
        <v>1</v>
      </c>
      <c r="K5" s="8" cm="1">
        <f t="array" ref="K5">SUMPRODUCT(('Overview of indicators and DLS'!$C$4:$C$66=$B5)*(Experiments!K$2:K$64=1))</f>
        <v>1</v>
      </c>
      <c r="L5" s="8" cm="1">
        <f t="array" ref="L5">SUMPRODUCT(('Overview of indicators and DLS'!$C$4:$C$66=$B5)*(Experiments!L$2:L$64=1))</f>
        <v>5</v>
      </c>
      <c r="M5" s="8" cm="1">
        <f t="array" ref="M5">SUMPRODUCT(('Overview of indicators and DLS'!$C$4:$C$66=$B5)*(Experiments!M$2:M$64=1))</f>
        <v>1</v>
      </c>
      <c r="N5" s="8" cm="1">
        <f t="array" ref="N5">SUMPRODUCT(('Overview of indicators and DLS'!$C$4:$C$66=$B5)*(Experiments!N$2:N$64=1))</f>
        <v>0</v>
      </c>
      <c r="O5" s="8" cm="1">
        <f t="array" ref="O5">SUMPRODUCT(('Overview of indicators and DLS'!$C$4:$C$66=$B5)*(Experiments!O$2:O$64=1))</f>
        <v>3</v>
      </c>
      <c r="P5" s="8" cm="1">
        <f t="array" ref="P5">SUMPRODUCT(('Overview of indicators and DLS'!$C$4:$C$66=$B5)*(Experiments!P$2:P$64=1))</f>
        <v>3</v>
      </c>
      <c r="Q5" s="8" cm="1">
        <f t="array" ref="Q5">SUMPRODUCT(('Overview of indicators and DLS'!$C$4:$C$66=$B5)*(Experiments!Q$2:Q$64=1))</f>
        <v>3</v>
      </c>
      <c r="R5" s="16" t="s">
        <v>52</v>
      </c>
    </row>
    <row r="6" spans="1:24" ht="14.45" customHeight="1" x14ac:dyDescent="0.25">
      <c r="B6" s="11" t="str">
        <v>Health Care</v>
      </c>
      <c r="C6" s="8" cm="1">
        <f t="array" ref="C6">SUMPRODUCT(('Overview of indicators and DLS'!$C$4:$C$66=$B6)*(Experiments!C$2:C$64=1))</f>
        <v>7</v>
      </c>
      <c r="D6" s="8" cm="1">
        <f t="array" ref="D6">SUMPRODUCT(('Overview of indicators and DLS'!$C$4:$C$66=$B6)*(Experiments!D$2:D$64=1))</f>
        <v>10</v>
      </c>
      <c r="E6" s="8" cm="1">
        <f t="array" ref="E6">SUMPRODUCT(('Overview of indicators and DLS'!$C$4:$C$66=$B6)*(Experiments!E$2:E$64=1))</f>
        <v>1</v>
      </c>
      <c r="F6" s="8" cm="1">
        <f t="array" ref="F6">SUMPRODUCT(('Overview of indicators and DLS'!$C$4:$C$66=$B6)*(Experiments!F$2:F$64=1))</f>
        <v>1</v>
      </c>
      <c r="G6" s="8" cm="1">
        <f t="array" ref="G6">SUMPRODUCT(('Overview of indicators and DLS'!$C$4:$C$66=$B6)*(Experiments!G$2:G$64=1))</f>
        <v>10</v>
      </c>
      <c r="H6" s="8" cm="1">
        <f t="array" ref="H6">SUMPRODUCT(('Overview of indicators and DLS'!$C$4:$C$66=$B6)*(Experiments!H$2:H$64=1))</f>
        <v>1</v>
      </c>
      <c r="I6" s="18" cm="1">
        <f t="array" ref="I6">SUMPRODUCT(('Overview of indicators and DLS'!$C$4:$C$66=$B6)*(Experiments!I$2:I$64=1))</f>
        <v>1</v>
      </c>
      <c r="J6" s="8" cm="1">
        <f t="array" ref="J6">SUMPRODUCT(('Overview of indicators and DLS'!$C$4:$C$66=$B6)*(Experiments!J$2:J$64=1))</f>
        <v>1</v>
      </c>
      <c r="K6" s="8" cm="1">
        <f t="array" ref="K6">SUMPRODUCT(('Overview of indicators and DLS'!$C$4:$C$66=$B6)*(Experiments!K$2:K$64=1))</f>
        <v>1</v>
      </c>
      <c r="L6" s="8" cm="1">
        <f t="array" ref="L6">SUMPRODUCT(('Overview of indicators and DLS'!$C$4:$C$66=$B6)*(Experiments!L$2:L$64=1))</f>
        <v>10</v>
      </c>
      <c r="M6" s="8" cm="1">
        <f t="array" ref="M6">SUMPRODUCT(('Overview of indicators and DLS'!$C$4:$C$66=$B6)*(Experiments!M$2:M$64=1))</f>
        <v>1</v>
      </c>
      <c r="N6" s="8" cm="1">
        <f t="array" ref="N6">SUMPRODUCT(('Overview of indicators and DLS'!$C$4:$C$66=$B6)*(Experiments!N$2:N$64=1))</f>
        <v>0</v>
      </c>
      <c r="O6" s="8" cm="1">
        <f t="array" ref="O6">SUMPRODUCT(('Overview of indicators and DLS'!$C$4:$C$66=$B6)*(Experiments!O$2:O$64=1))</f>
        <v>7</v>
      </c>
      <c r="P6" s="8" cm="1">
        <f t="array" ref="P6">SUMPRODUCT(('Overview of indicators and DLS'!$C$4:$C$66=$B6)*(Experiments!P$2:P$64=1))</f>
        <v>7</v>
      </c>
      <c r="Q6" s="8" cm="1">
        <f t="array" ref="Q6">SUMPRODUCT(('Overview of indicators and DLS'!$C$4:$C$66=$B6)*(Experiments!Q$2:Q$64=1))</f>
        <v>3</v>
      </c>
    </row>
    <row r="7" spans="1:24" ht="14.45" customHeight="1" x14ac:dyDescent="0.25">
      <c r="B7" s="11" t="str">
        <v>Water</v>
      </c>
      <c r="C7" s="8" cm="1">
        <f t="array" ref="C7">SUMPRODUCT(('Overview of indicators and DLS'!$C$4:$C$66=$B7)*(Experiments!C$2:C$64=1))</f>
        <v>3</v>
      </c>
      <c r="D7" s="8" cm="1">
        <f t="array" ref="D7">SUMPRODUCT(('Overview of indicators and DLS'!$C$4:$C$66=$B7)*(Experiments!D$2:D$64=1))</f>
        <v>4</v>
      </c>
      <c r="E7" s="8" cm="1">
        <f t="array" ref="E7">SUMPRODUCT(('Overview of indicators and DLS'!$C$4:$C$66=$B7)*(Experiments!E$2:E$64=1))</f>
        <v>2</v>
      </c>
      <c r="F7" s="8" cm="1">
        <f t="array" ref="F7">SUMPRODUCT(('Overview of indicators and DLS'!$C$4:$C$66=$B7)*(Experiments!F$2:F$64=1))</f>
        <v>2</v>
      </c>
      <c r="G7" s="8" cm="1">
        <f t="array" ref="G7">SUMPRODUCT(('Overview of indicators and DLS'!$C$4:$C$66=$B7)*(Experiments!G$2:G$64=1))</f>
        <v>4</v>
      </c>
      <c r="H7" s="8" cm="1">
        <f t="array" ref="H7">SUMPRODUCT(('Overview of indicators and DLS'!$C$4:$C$66=$B7)*(Experiments!H$2:H$64=1))</f>
        <v>1</v>
      </c>
      <c r="I7" s="18" cm="1">
        <f t="array" ref="I7">SUMPRODUCT(('Overview of indicators and DLS'!$C$4:$C$66=$B7)*(Experiments!I$2:I$64=1))</f>
        <v>2</v>
      </c>
      <c r="J7" s="8" cm="1">
        <f t="array" ref="J7">SUMPRODUCT(('Overview of indicators and DLS'!$C$4:$C$66=$B7)*(Experiments!J$2:J$64=1))</f>
        <v>2</v>
      </c>
      <c r="K7" s="8" cm="1">
        <f t="array" ref="K7">SUMPRODUCT(('Overview of indicators and DLS'!$C$4:$C$66=$B7)*(Experiments!K$2:K$64=1))</f>
        <v>2</v>
      </c>
      <c r="L7" s="8" cm="1">
        <f t="array" ref="L7">SUMPRODUCT(('Overview of indicators and DLS'!$C$4:$C$66=$B7)*(Experiments!L$2:L$64=1))</f>
        <v>4</v>
      </c>
      <c r="M7" s="8" cm="1">
        <f t="array" ref="M7">SUMPRODUCT(('Overview of indicators and DLS'!$C$4:$C$66=$B7)*(Experiments!M$2:M$64=1))</f>
        <v>2</v>
      </c>
      <c r="N7" s="8" cm="1">
        <f t="array" ref="N7">SUMPRODUCT(('Overview of indicators and DLS'!$C$4:$C$66=$B7)*(Experiments!N$2:N$64=1))</f>
        <v>0</v>
      </c>
      <c r="O7" s="8" cm="1">
        <f t="array" ref="O7">SUMPRODUCT(('Overview of indicators and DLS'!$C$4:$C$66=$B7)*(Experiments!O$2:O$64=1))</f>
        <v>3</v>
      </c>
      <c r="P7" s="8" cm="1">
        <f t="array" ref="P7">SUMPRODUCT(('Overview of indicators and DLS'!$C$4:$C$66=$B7)*(Experiments!P$2:P$64=1))</f>
        <v>3</v>
      </c>
      <c r="Q7" s="8" cm="1">
        <f t="array" ref="Q7">SUMPRODUCT(('Overview of indicators and DLS'!$C$4:$C$66=$B7)*(Experiments!Q$2:Q$64=1))</f>
        <v>3</v>
      </c>
    </row>
    <row r="8" spans="1:24" ht="14.45" customHeight="1" x14ac:dyDescent="0.25">
      <c r="B8" s="11" t="str">
        <v>Sanitation</v>
      </c>
      <c r="C8" s="8" cm="1">
        <f t="array" ref="C8">SUMPRODUCT(('Overview of indicators and DLS'!$C$4:$C$66=$B8)*(Experiments!C$2:C$64=1))</f>
        <v>1</v>
      </c>
      <c r="D8" s="8" cm="1">
        <f t="array" ref="D8">SUMPRODUCT(('Overview of indicators and DLS'!$C$4:$C$66=$B8)*(Experiments!D$2:D$64=1))</f>
        <v>2</v>
      </c>
      <c r="E8" s="8" cm="1">
        <f t="array" ref="E8">SUMPRODUCT(('Overview of indicators and DLS'!$C$4:$C$66=$B8)*(Experiments!E$2:E$64=1))</f>
        <v>1</v>
      </c>
      <c r="F8" s="8" cm="1">
        <f t="array" ref="F8">SUMPRODUCT(('Overview of indicators and DLS'!$C$4:$C$66=$B8)*(Experiments!F$2:F$64=1))</f>
        <v>1</v>
      </c>
      <c r="G8" s="8" cm="1">
        <f t="array" ref="G8">SUMPRODUCT(('Overview of indicators and DLS'!$C$4:$C$66=$B8)*(Experiments!G$2:G$64=1))</f>
        <v>2</v>
      </c>
      <c r="H8" s="8" cm="1">
        <f t="array" ref="H8">SUMPRODUCT(('Overview of indicators and DLS'!$C$4:$C$66=$B8)*(Experiments!H$2:H$64=1))</f>
        <v>1</v>
      </c>
      <c r="I8" s="18" cm="1">
        <f t="array" ref="I8">SUMPRODUCT(('Overview of indicators and DLS'!$C$4:$C$66=$B8)*(Experiments!I$2:I$64=1))</f>
        <v>1</v>
      </c>
      <c r="J8" s="8" cm="1">
        <f t="array" ref="J8">SUMPRODUCT(('Overview of indicators and DLS'!$C$4:$C$66=$B8)*(Experiments!J$2:J$64=1))</f>
        <v>1</v>
      </c>
      <c r="K8" s="8" cm="1">
        <f t="array" ref="K8">SUMPRODUCT(('Overview of indicators and DLS'!$C$4:$C$66=$B8)*(Experiments!K$2:K$64=1))</f>
        <v>1</v>
      </c>
      <c r="L8" s="8" cm="1">
        <f t="array" ref="L8">SUMPRODUCT(('Overview of indicators and DLS'!$C$4:$C$66=$B8)*(Experiments!L$2:L$64=1))</f>
        <v>2</v>
      </c>
      <c r="M8" s="8" cm="1">
        <f t="array" ref="M8">SUMPRODUCT(('Overview of indicators and DLS'!$C$4:$C$66=$B8)*(Experiments!M$2:M$64=1))</f>
        <v>1</v>
      </c>
      <c r="N8" s="8" cm="1">
        <f t="array" ref="N8">SUMPRODUCT(('Overview of indicators and DLS'!$C$4:$C$66=$B8)*(Experiments!N$2:N$64=1))</f>
        <v>0</v>
      </c>
      <c r="O8" s="8" cm="1">
        <f t="array" ref="O8">SUMPRODUCT(('Overview of indicators and DLS'!$C$4:$C$66=$B8)*(Experiments!O$2:O$64=1))</f>
        <v>1</v>
      </c>
      <c r="P8" s="8" cm="1">
        <f t="array" ref="P8">SUMPRODUCT(('Overview of indicators and DLS'!$C$4:$C$66=$B8)*(Experiments!P$2:P$64=1))</f>
        <v>1</v>
      </c>
      <c r="Q8" s="8" cm="1">
        <f t="array" ref="Q8">SUMPRODUCT(('Overview of indicators and DLS'!$C$4:$C$66=$B8)*(Experiments!Q$2:Q$64=1))</f>
        <v>1</v>
      </c>
    </row>
    <row r="9" spans="1:24" ht="14.45" customHeight="1" x14ac:dyDescent="0.25">
      <c r="B9" s="11" t="str">
        <v>Food preparation</v>
      </c>
      <c r="C9" s="8" cm="1">
        <f t="array" ref="C9">SUMPRODUCT(('Overview of indicators and DLS'!$C$4:$C$66=$B9)*(Experiments!C$2:C$64=1))</f>
        <v>2</v>
      </c>
      <c r="D9" s="8" cm="1">
        <f t="array" ref="D9">SUMPRODUCT(('Overview of indicators and DLS'!$C$4:$C$66=$B9)*(Experiments!D$2:D$64=1))</f>
        <v>2</v>
      </c>
      <c r="E9" s="8" cm="1">
        <f t="array" ref="E9">SUMPRODUCT(('Overview of indicators and DLS'!$C$4:$C$66=$B9)*(Experiments!E$2:E$64=1))</f>
        <v>1</v>
      </c>
      <c r="F9" s="8" cm="1">
        <f t="array" ref="F9">SUMPRODUCT(('Overview of indicators and DLS'!$C$4:$C$66=$B9)*(Experiments!F$2:F$64=1))</f>
        <v>1</v>
      </c>
      <c r="G9" s="8" cm="1">
        <f t="array" ref="G9">SUMPRODUCT(('Overview of indicators and DLS'!$C$4:$C$66=$B9)*(Experiments!G$2:G$64=1))</f>
        <v>2</v>
      </c>
      <c r="H9" s="8" cm="1">
        <f t="array" ref="H9">SUMPRODUCT(('Overview of indicators and DLS'!$C$4:$C$66=$B9)*(Experiments!H$2:H$64=1))</f>
        <v>1</v>
      </c>
      <c r="I9" s="18" cm="1">
        <f t="array" ref="I9">SUMPRODUCT(('Overview of indicators and DLS'!$C$4:$C$66=$B9)*(Experiments!I$2:I$64=1))</f>
        <v>1</v>
      </c>
      <c r="J9" s="8" cm="1">
        <f t="array" ref="J9">SUMPRODUCT(('Overview of indicators and DLS'!$C$4:$C$66=$B9)*(Experiments!J$2:J$64=1))</f>
        <v>1</v>
      </c>
      <c r="K9" s="8" cm="1">
        <f t="array" ref="K9">SUMPRODUCT(('Overview of indicators and DLS'!$C$4:$C$66=$B9)*(Experiments!K$2:K$64=1))</f>
        <v>1</v>
      </c>
      <c r="L9" s="8" cm="1">
        <f t="array" ref="L9">SUMPRODUCT(('Overview of indicators and DLS'!$C$4:$C$66=$B9)*(Experiments!L$2:L$64=1))</f>
        <v>2</v>
      </c>
      <c r="M9" s="8" cm="1">
        <f t="array" ref="M9">SUMPRODUCT(('Overview of indicators and DLS'!$C$4:$C$66=$B9)*(Experiments!M$2:M$64=1))</f>
        <v>1</v>
      </c>
      <c r="N9" s="8" cm="1">
        <f t="array" ref="N9">SUMPRODUCT(('Overview of indicators and DLS'!$C$4:$C$66=$B9)*(Experiments!N$2:N$64=1))</f>
        <v>0</v>
      </c>
      <c r="O9" s="8" cm="1">
        <f t="array" ref="O9">SUMPRODUCT(('Overview of indicators and DLS'!$C$4:$C$66=$B9)*(Experiments!O$2:O$64=1))</f>
        <v>2</v>
      </c>
      <c r="P9" s="8" cm="1">
        <f t="array" ref="P9">SUMPRODUCT(('Overview of indicators and DLS'!$C$4:$C$66=$B9)*(Experiments!P$2:P$64=1))</f>
        <v>2</v>
      </c>
      <c r="Q9" s="8" cm="1">
        <f t="array" ref="Q9">SUMPRODUCT(('Overview of indicators and DLS'!$C$4:$C$66=$B9)*(Experiments!Q$2:Q$64=1))</f>
        <v>0</v>
      </c>
    </row>
    <row r="10" spans="1:24" x14ac:dyDescent="0.25">
      <c r="B10" s="11" t="str">
        <v>Thermal comfort</v>
      </c>
      <c r="C10" s="8" cm="1">
        <f t="array" ref="C10">SUMPRODUCT(('Overview of indicators and DLS'!$C$4:$C$66=$B10)*(Experiments!C$2:C$64=1))</f>
        <v>1</v>
      </c>
      <c r="D10" s="8" cm="1">
        <f t="array" ref="D10">SUMPRODUCT(('Overview of indicators and DLS'!$C$4:$C$66=$B10)*(Experiments!D$2:D$64=1))</f>
        <v>1</v>
      </c>
      <c r="E10" s="8" cm="1">
        <f t="array" ref="E10">SUMPRODUCT(('Overview of indicators and DLS'!$C$4:$C$66=$B10)*(Experiments!E$2:E$64=1))</f>
        <v>1</v>
      </c>
      <c r="F10" s="8" cm="1">
        <f t="array" ref="F10">SUMPRODUCT(('Overview of indicators and DLS'!$C$4:$C$66=$B10)*(Experiments!F$2:F$64=1))</f>
        <v>1</v>
      </c>
      <c r="G10" s="8" cm="1">
        <f t="array" ref="G10">SUMPRODUCT(('Overview of indicators and DLS'!$C$4:$C$66=$B10)*(Experiments!G$2:G$64=1))</f>
        <v>1</v>
      </c>
      <c r="H10" s="8" cm="1">
        <f t="array" ref="H10">SUMPRODUCT(('Overview of indicators and DLS'!$C$4:$C$66=$B10)*(Experiments!H$2:H$64=1))</f>
        <v>1</v>
      </c>
      <c r="I10" s="18" cm="1">
        <f t="array" ref="I10">SUMPRODUCT(('Overview of indicators and DLS'!$C$4:$C$66=$B10)*(Experiments!I$2:I$64=1))</f>
        <v>1</v>
      </c>
      <c r="J10" s="8" cm="1">
        <f t="array" ref="J10">SUMPRODUCT(('Overview of indicators and DLS'!$C$4:$C$66=$B10)*(Experiments!J$2:J$64=1))</f>
        <v>1</v>
      </c>
      <c r="K10" s="8" cm="1">
        <f t="array" ref="K10">SUMPRODUCT(('Overview of indicators and DLS'!$C$4:$C$66=$B10)*(Experiments!K$2:K$64=1))</f>
        <v>1</v>
      </c>
      <c r="L10" s="8" cm="1">
        <f t="array" ref="L10">SUMPRODUCT(('Overview of indicators and DLS'!$C$4:$C$66=$B10)*(Experiments!L$2:L$64=1))</f>
        <v>1</v>
      </c>
      <c r="M10" s="8" cm="1">
        <f t="array" ref="M10">SUMPRODUCT(('Overview of indicators and DLS'!$C$4:$C$66=$B10)*(Experiments!M$2:M$64=1))</f>
        <v>1</v>
      </c>
      <c r="N10" s="8" cm="1">
        <f t="array" ref="N10">SUMPRODUCT(('Overview of indicators and DLS'!$C$4:$C$66=$B10)*(Experiments!N$2:N$64=1))</f>
        <v>0</v>
      </c>
      <c r="O10" s="8" cm="1">
        <f t="array" ref="O10">SUMPRODUCT(('Overview of indicators and DLS'!$C$4:$C$66=$B10)*(Experiments!O$2:O$64=1))</f>
        <v>1</v>
      </c>
      <c r="P10" s="8" cm="1">
        <f t="array" ref="P10">SUMPRODUCT(('Overview of indicators and DLS'!$C$4:$C$66=$B10)*(Experiments!P$2:P$64=1))</f>
        <v>1</v>
      </c>
      <c r="Q10" s="8" cm="1">
        <f t="array" ref="Q10">SUMPRODUCT(('Overview of indicators and DLS'!$C$4:$C$66=$B10)*(Experiments!Q$2:Q$64=1))</f>
        <v>0</v>
      </c>
    </row>
    <row r="11" spans="1:24" x14ac:dyDescent="0.25">
      <c r="B11" s="11" t="str">
        <v>Non material / Non-DLS</v>
      </c>
      <c r="C11" s="8" cm="1">
        <f t="array" ref="C11">SUMPRODUCT(('Overview of indicators and DLS'!$C$4:$C$66=$B11)*(Experiments!C$2:C$64=1))</f>
        <v>9</v>
      </c>
      <c r="D11" s="8" cm="1">
        <f t="array" ref="D11">SUMPRODUCT(('Overview of indicators and DLS'!$C$4:$C$66=$B11)*(Experiments!D$2:D$64=1))</f>
        <v>10</v>
      </c>
      <c r="E11" s="8" cm="1">
        <f t="array" ref="E11">SUMPRODUCT(('Overview of indicators and DLS'!$C$4:$C$66=$B11)*(Experiments!E$2:E$64=1))</f>
        <v>0</v>
      </c>
      <c r="F11" s="8" cm="1">
        <f t="array" ref="F11">SUMPRODUCT(('Overview of indicators and DLS'!$C$4:$C$66=$B11)*(Experiments!F$2:F$64=1))</f>
        <v>0</v>
      </c>
      <c r="G11" s="8" cm="1">
        <f t="array" ref="G11">SUMPRODUCT(('Overview of indicators and DLS'!$C$4:$C$66=$B11)*(Experiments!G$2:G$64=1))</f>
        <v>0</v>
      </c>
      <c r="H11" s="8" cm="1">
        <f t="array" ref="H11">SUMPRODUCT(('Overview of indicators and DLS'!$C$4:$C$66=$B11)*(Experiments!H$2:H$64=1))</f>
        <v>2</v>
      </c>
      <c r="I11" s="18" cm="1">
        <f t="array" ref="I11">SUMPRODUCT(('Overview of indicators and DLS'!$C$4:$C$66=$B11)*(Experiments!I$2:I$64=1))</f>
        <v>0</v>
      </c>
      <c r="J11" s="8" cm="1">
        <f t="array" ref="J11">SUMPRODUCT(('Overview of indicators and DLS'!$C$4:$C$66=$B11)*(Experiments!J$2:J$64=1))</f>
        <v>0</v>
      </c>
      <c r="K11" s="8" cm="1">
        <f t="array" ref="K11">SUMPRODUCT(('Overview of indicators and DLS'!$C$4:$C$66=$B11)*(Experiments!K$2:K$64=1))</f>
        <v>0</v>
      </c>
      <c r="L11" s="8" cm="1">
        <f t="array" ref="L11">SUMPRODUCT(('Overview of indicators and DLS'!$C$4:$C$66=$B11)*(Experiments!L$2:L$64=1))</f>
        <v>0</v>
      </c>
      <c r="M11" s="8" cm="1">
        <f t="array" ref="M11">SUMPRODUCT(('Overview of indicators and DLS'!$C$4:$C$66=$B11)*(Experiments!M$2:M$64=1))</f>
        <v>0</v>
      </c>
      <c r="N11" s="8" cm="1">
        <f t="array" ref="N11">SUMPRODUCT(('Overview of indicators and DLS'!$C$4:$C$66=$B11)*(Experiments!N$2:N$64=1))</f>
        <v>15</v>
      </c>
      <c r="O11" s="8" cm="1">
        <f t="array" ref="O11">SUMPRODUCT(('Overview of indicators and DLS'!$C$4:$C$66=$B11)*(Experiments!O$2:O$64=1))</f>
        <v>24</v>
      </c>
      <c r="P11" s="8" cm="1">
        <f t="array" ref="P11">SUMPRODUCT(('Overview of indicators and DLS'!$C$4:$C$66=$B11)*(Experiments!P$2:P$64=1))</f>
        <v>0</v>
      </c>
      <c r="Q11" s="8" cm="1">
        <f t="array" ref="Q11">SUMPRODUCT(('Overview of indicators and DLS'!$C$4:$C$66=$B11)*(Experiments!Q$2:Q$64=1))</f>
        <v>0</v>
      </c>
    </row>
    <row r="12" spans="1:24" x14ac:dyDescent="0.25">
      <c r="B12" s="11" t="str">
        <v>Education</v>
      </c>
      <c r="C12" s="8" cm="1">
        <f t="array" ref="C12">SUMPRODUCT(('Overview of indicators and DLS'!$C$4:$C$66=$B12)*(Experiments!C$2:C$64=1))</f>
        <v>4</v>
      </c>
      <c r="D12" s="8" cm="1">
        <f t="array" ref="D12">SUMPRODUCT(('Overview of indicators and DLS'!$C$4:$C$66=$B12)*(Experiments!D$2:D$64=1))</f>
        <v>5</v>
      </c>
      <c r="E12" s="8" cm="1">
        <f t="array" ref="E12">SUMPRODUCT(('Overview of indicators and DLS'!$C$4:$C$66=$B12)*(Experiments!E$2:E$64=1))</f>
        <v>1</v>
      </c>
      <c r="F12" s="8" cm="1">
        <f t="array" ref="F12">SUMPRODUCT(('Overview of indicators and DLS'!$C$4:$C$66=$B12)*(Experiments!F$2:F$64=1))</f>
        <v>1</v>
      </c>
      <c r="G12" s="8" cm="1">
        <f t="array" ref="G12">SUMPRODUCT(('Overview of indicators and DLS'!$C$4:$C$66=$B12)*(Experiments!G$2:G$64=1))</f>
        <v>9</v>
      </c>
      <c r="H12" s="8" cm="1">
        <f t="array" ref="H12">SUMPRODUCT(('Overview of indicators and DLS'!$C$4:$C$66=$B12)*(Experiments!H$2:H$64=1))</f>
        <v>3</v>
      </c>
      <c r="I12" s="18" cm="1">
        <f t="array" ref="I12">SUMPRODUCT(('Overview of indicators and DLS'!$C$4:$C$66=$B12)*(Experiments!I$2:I$64=1))</f>
        <v>1</v>
      </c>
      <c r="J12" s="8" cm="1">
        <f t="array" ref="J12">SUMPRODUCT(('Overview of indicators and DLS'!$C$4:$C$66=$B12)*(Experiments!J$2:J$64=1))</f>
        <v>1</v>
      </c>
      <c r="K12" s="8" cm="1">
        <f t="array" ref="K12">SUMPRODUCT(('Overview of indicators and DLS'!$C$4:$C$66=$B12)*(Experiments!K$2:K$64=1))</f>
        <v>1</v>
      </c>
      <c r="L12" s="8" cm="1">
        <f t="array" ref="L12">SUMPRODUCT(('Overview of indicators and DLS'!$C$4:$C$66=$B12)*(Experiments!L$2:L$64=1))</f>
        <v>9</v>
      </c>
      <c r="M12" s="8" cm="1">
        <f t="array" ref="M12">SUMPRODUCT(('Overview of indicators and DLS'!$C$4:$C$66=$B12)*(Experiments!M$2:M$64=1))</f>
        <v>1</v>
      </c>
      <c r="N12" s="8" cm="1">
        <f t="array" ref="N12">SUMPRODUCT(('Overview of indicators and DLS'!$C$4:$C$66=$B12)*(Experiments!N$2:N$64=1))</f>
        <v>4</v>
      </c>
      <c r="O12" s="8" cm="1">
        <f t="array" ref="O12">SUMPRODUCT(('Overview of indicators and DLS'!$C$4:$C$66=$B12)*(Experiments!O$2:O$64=1))</f>
        <v>8</v>
      </c>
      <c r="P12" s="8" cm="1">
        <f t="array" ref="P12">SUMPRODUCT(('Overview of indicators and DLS'!$C$4:$C$66=$B12)*(Experiments!P$2:P$64=1))</f>
        <v>8</v>
      </c>
      <c r="Q12" s="8" cm="1">
        <f t="array" ref="Q12">SUMPRODUCT(('Overview of indicators and DLS'!$C$4:$C$66=$B12)*(Experiments!Q$2:Q$64=1))</f>
        <v>0</v>
      </c>
    </row>
    <row r="13" spans="1:24" x14ac:dyDescent="0.25">
      <c r="B13" s="11" t="str">
        <v>Social connectedness</v>
      </c>
      <c r="C13" s="8" cm="1">
        <f t="array" ref="C13">SUMPRODUCT(('Overview of indicators and DLS'!$C$4:$C$66=$B13)*(Experiments!C$2:C$64=1))</f>
        <v>3</v>
      </c>
      <c r="D13" s="8" cm="1">
        <f t="array" ref="D13">SUMPRODUCT(('Overview of indicators and DLS'!$C$4:$C$66=$B13)*(Experiments!D$2:D$64=1))</f>
        <v>3</v>
      </c>
      <c r="E13" s="8" cm="1">
        <f t="array" ref="E13">SUMPRODUCT(('Overview of indicators and DLS'!$C$4:$C$66=$B13)*(Experiments!E$2:E$64=1))</f>
        <v>2</v>
      </c>
      <c r="F13" s="8" cm="1">
        <f t="array" ref="F13">SUMPRODUCT(('Overview of indicators and DLS'!$C$4:$C$66=$B13)*(Experiments!F$2:F$64=1))</f>
        <v>2</v>
      </c>
      <c r="G13" s="8" cm="1">
        <f t="array" ref="G13">SUMPRODUCT(('Overview of indicators and DLS'!$C$4:$C$66=$B13)*(Experiments!G$2:G$64=1))</f>
        <v>3</v>
      </c>
      <c r="H13" s="8" cm="1">
        <f t="array" ref="H13">SUMPRODUCT(('Overview of indicators and DLS'!$C$4:$C$66=$B13)*(Experiments!H$2:H$64=1))</f>
        <v>2</v>
      </c>
      <c r="I13" s="18" cm="1">
        <f t="array" ref="I13">SUMPRODUCT(('Overview of indicators and DLS'!$C$4:$C$66=$B13)*(Experiments!I$2:I$64=1))</f>
        <v>2</v>
      </c>
      <c r="J13" s="8" cm="1">
        <f t="array" ref="J13">SUMPRODUCT(('Overview of indicators and DLS'!$C$4:$C$66=$B13)*(Experiments!J$2:J$64=1))</f>
        <v>2</v>
      </c>
      <c r="K13" s="8" cm="1">
        <f t="array" ref="K13">SUMPRODUCT(('Overview of indicators and DLS'!$C$4:$C$66=$B13)*(Experiments!K$2:K$64=1))</f>
        <v>2</v>
      </c>
      <c r="L13" s="8" cm="1">
        <f t="array" ref="L13">SUMPRODUCT(('Overview of indicators and DLS'!$C$4:$C$66=$B13)*(Experiments!L$2:L$64=1))</f>
        <v>3</v>
      </c>
      <c r="M13" s="8" cm="1">
        <f t="array" ref="M13">SUMPRODUCT(('Overview of indicators and DLS'!$C$4:$C$66=$B13)*(Experiments!M$2:M$64=1))</f>
        <v>2</v>
      </c>
      <c r="N13" s="8" cm="1">
        <f t="array" ref="N13">SUMPRODUCT(('Overview of indicators and DLS'!$C$4:$C$66=$B13)*(Experiments!N$2:N$64=1))</f>
        <v>0</v>
      </c>
      <c r="O13" s="8" cm="1">
        <f t="array" ref="O13">SUMPRODUCT(('Overview of indicators and DLS'!$C$4:$C$66=$B13)*(Experiments!O$2:O$64=1))</f>
        <v>3</v>
      </c>
      <c r="P13" s="8" cm="1">
        <f t="array" ref="P13">SUMPRODUCT(('Overview of indicators and DLS'!$C$4:$C$66=$B13)*(Experiments!P$2:P$64=1))</f>
        <v>3</v>
      </c>
      <c r="Q13" s="8" cm="1">
        <f t="array" ref="Q13">SUMPRODUCT(('Overview of indicators and DLS'!$C$4:$C$66=$B13)*(Experiments!Q$2:Q$64=1))</f>
        <v>0</v>
      </c>
    </row>
    <row r="14" spans="1:24" x14ac:dyDescent="0.25">
      <c r="B14" s="11" t="str">
        <v>Housing</v>
      </c>
      <c r="C14" s="8" cm="1">
        <f t="array" ref="C14">SUMPRODUCT(('Overview of indicators and DLS'!$C$4:$C$66=$B14)*(Experiments!C$2:C$64=1))</f>
        <v>0</v>
      </c>
      <c r="D14" s="8" cm="1">
        <f t="array" ref="D14">SUMPRODUCT(('Overview of indicators and DLS'!$C$4:$C$66=$B14)*(Experiments!D$2:D$64=1))</f>
        <v>1</v>
      </c>
      <c r="E14" s="8" cm="1">
        <f t="array" ref="E14">SUMPRODUCT(('Overview of indicators and DLS'!$C$4:$C$66=$B14)*(Experiments!E$2:E$64=1))</f>
        <v>1</v>
      </c>
      <c r="F14" s="8" cm="1">
        <f t="array" ref="F14">SUMPRODUCT(('Overview of indicators and DLS'!$C$4:$C$66=$B14)*(Experiments!F$2:F$64=1))</f>
        <v>1</v>
      </c>
      <c r="G14" s="8" cm="1">
        <f t="array" ref="G14">SUMPRODUCT(('Overview of indicators and DLS'!$C$4:$C$66=$B14)*(Experiments!G$2:G$64=1))</f>
        <v>1</v>
      </c>
      <c r="H14" s="8" cm="1">
        <f t="array" ref="H14">SUMPRODUCT(('Overview of indicators and DLS'!$C$4:$C$66=$B14)*(Experiments!H$2:H$64=1))</f>
        <v>1</v>
      </c>
      <c r="I14" s="18" cm="1">
        <f t="array" ref="I14">SUMPRODUCT(('Overview of indicators and DLS'!$C$4:$C$66=$B14)*(Experiments!I$2:I$64=1))</f>
        <v>1</v>
      </c>
      <c r="J14" s="8" cm="1">
        <f t="array" ref="J14">SUMPRODUCT(('Overview of indicators and DLS'!$C$4:$C$66=$B14)*(Experiments!J$2:J$64=1))</f>
        <v>1</v>
      </c>
      <c r="K14" s="8" cm="1">
        <f t="array" ref="K14">SUMPRODUCT(('Overview of indicators and DLS'!$C$4:$C$66=$B14)*(Experiments!K$2:K$64=1))</f>
        <v>1</v>
      </c>
      <c r="L14" s="8" cm="1">
        <f t="array" ref="L14">SUMPRODUCT(('Overview of indicators and DLS'!$C$4:$C$66=$B14)*(Experiments!L$2:L$64=1))</f>
        <v>1</v>
      </c>
      <c r="M14" s="8" cm="1">
        <f t="array" ref="M14">SUMPRODUCT(('Overview of indicators and DLS'!$C$4:$C$66=$B14)*(Experiments!M$2:M$64=1))</f>
        <v>1</v>
      </c>
      <c r="N14" s="8" cm="1">
        <f t="array" ref="N14">SUMPRODUCT(('Overview of indicators and DLS'!$C$4:$C$66=$B14)*(Experiments!N$2:N$64=1))</f>
        <v>0</v>
      </c>
      <c r="O14" s="8" cm="1">
        <f t="array" ref="O14">SUMPRODUCT(('Overview of indicators and DLS'!$C$4:$C$66=$B14)*(Experiments!O$2:O$64=1))</f>
        <v>0</v>
      </c>
      <c r="P14" s="8" cm="1">
        <f t="array" ref="P14">SUMPRODUCT(('Overview of indicators and DLS'!$C$4:$C$66=$B14)*(Experiments!P$2:P$64=1))</f>
        <v>1</v>
      </c>
      <c r="Q14" s="8" cm="1">
        <f t="array" ref="Q14">SUMPRODUCT(('Overview of indicators and DLS'!$C$4:$C$66=$B14)*(Experiments!Q$2:Q$64=1))</f>
        <v>0</v>
      </c>
    </row>
    <row r="15" spans="1:24" x14ac:dyDescent="0.25">
      <c r="B15" s="13" t="str">
        <v>Physical Connectedness</v>
      </c>
      <c r="C15" s="12" cm="1">
        <f t="array" ref="C15">SUMPRODUCT(('Overview of indicators and DLS'!$C$4:$C$66=$B15)*(Experiments!C$2:C$64=1))</f>
        <v>0</v>
      </c>
      <c r="D15" s="12" cm="1">
        <f t="array" ref="D15">SUMPRODUCT(('Overview of indicators and DLS'!$C$4:$C$66=$B15)*(Experiments!D$2:D$64=1))</f>
        <v>0</v>
      </c>
      <c r="E15" s="12" cm="1">
        <f t="array" ref="E15">SUMPRODUCT(('Overview of indicators and DLS'!$C$4:$C$66=$B15)*(Experiments!E$2:E$64=1))</f>
        <v>0</v>
      </c>
      <c r="F15" s="12" cm="1">
        <f t="array" ref="F15">SUMPRODUCT(('Overview of indicators and DLS'!$C$4:$C$66=$B15)*(Experiments!F$2:F$64=1))</f>
        <v>0</v>
      </c>
      <c r="G15" s="12" cm="1">
        <f t="array" ref="G15">SUMPRODUCT(('Overview of indicators and DLS'!$C$4:$C$66=$B15)*(Experiments!G$2:G$64=1))</f>
        <v>0</v>
      </c>
      <c r="H15" s="12" cm="1">
        <f t="array" ref="H15">SUMPRODUCT(('Overview of indicators and DLS'!$C$4:$C$66=$B15)*(Experiments!H$2:H$64=1))</f>
        <v>0</v>
      </c>
      <c r="I15" s="19" cm="1">
        <f t="array" ref="I15">SUMPRODUCT(('Overview of indicators and DLS'!$C$4:$C$66=$B15)*(Experiments!I$2:I$64=1))</f>
        <v>0</v>
      </c>
      <c r="J15" s="12" cm="1">
        <f t="array" ref="J15">SUMPRODUCT(('Overview of indicators and DLS'!$C$4:$C$66=$B15)*(Experiments!J$2:J$64=1))</f>
        <v>0</v>
      </c>
      <c r="K15" s="12" cm="1">
        <f t="array" ref="K15">SUMPRODUCT(('Overview of indicators and DLS'!$C$4:$C$66=$B15)*(Experiments!K$2:K$64=1))</f>
        <v>0</v>
      </c>
      <c r="L15" s="12" cm="1">
        <f t="array" ref="L15">SUMPRODUCT(('Overview of indicators and DLS'!$C$4:$C$66=$B15)*(Experiments!L$2:L$64=1))</f>
        <v>0</v>
      </c>
      <c r="M15" s="12" cm="1">
        <f t="array" ref="M15">SUMPRODUCT(('Overview of indicators and DLS'!$C$4:$C$66=$B15)*(Experiments!M$2:M$64=1))</f>
        <v>0</v>
      </c>
      <c r="N15" s="12" cm="1">
        <f t="array" ref="N15">SUMPRODUCT(('Overview of indicators and DLS'!$C$4:$C$66=$B15)*(Experiments!N$2:N$64=1))</f>
        <v>0</v>
      </c>
      <c r="O15" s="12" cm="1">
        <f t="array" ref="O15">SUMPRODUCT(('Overview of indicators and DLS'!$C$4:$C$66=$B15)*(Experiments!O$2:O$64=1))</f>
        <v>0</v>
      </c>
      <c r="P15" s="12" cm="1">
        <f t="array" ref="P15">SUMPRODUCT(('Overview of indicators and DLS'!$C$4:$C$66=$B15)*(Experiments!P$2:P$64=1))</f>
        <v>0</v>
      </c>
      <c r="Q15" s="12" cm="1">
        <f t="array" ref="Q15">SUMPRODUCT(('Overview of indicators and DLS'!$C$4:$C$66=$B15)*(Experiments!Q$2:Q$64=1))</f>
        <v>0</v>
      </c>
      <c r="R15" t="s">
        <v>54</v>
      </c>
    </row>
    <row r="16" spans="1:24" x14ac:dyDescent="0.25">
      <c r="B16" s="11"/>
      <c r="C16" s="14"/>
      <c r="D16" s="14"/>
      <c r="E16" s="8"/>
      <c r="F16" s="8"/>
      <c r="G16" s="8"/>
      <c r="H16" s="11"/>
      <c r="I16" s="8"/>
      <c r="J16" s="8"/>
      <c r="K16" s="8"/>
      <c r="L16" s="8"/>
      <c r="M16" s="8"/>
      <c r="N16" s="8"/>
      <c r="O16" s="8"/>
      <c r="P16" s="8"/>
      <c r="Q16" s="8"/>
    </row>
    <row r="17" spans="1:51" x14ac:dyDescent="0.25">
      <c r="B17" s="15" t="s">
        <v>33</v>
      </c>
      <c r="C17" s="14">
        <f>SUM(C5:C15)</f>
        <v>33</v>
      </c>
      <c r="D17" s="14">
        <f>SUM(D5:D15)</f>
        <v>43</v>
      </c>
      <c r="E17" s="14">
        <f t="shared" ref="E17:H17" si="0">SUM(E5:E15)</f>
        <v>11</v>
      </c>
      <c r="F17" s="14">
        <f t="shared" si="0"/>
        <v>11</v>
      </c>
      <c r="G17" s="14">
        <f t="shared" si="0"/>
        <v>37</v>
      </c>
      <c r="H17" s="14">
        <f t="shared" si="0"/>
        <v>15</v>
      </c>
      <c r="I17" s="20">
        <f t="shared" ref="I17:O17" si="1">SUM(I5:I15)</f>
        <v>11</v>
      </c>
      <c r="J17" s="14">
        <f t="shared" si="1"/>
        <v>11</v>
      </c>
      <c r="K17" s="14">
        <f t="shared" si="1"/>
        <v>11</v>
      </c>
      <c r="L17" s="14">
        <f t="shared" si="1"/>
        <v>37</v>
      </c>
      <c r="M17" s="14">
        <f t="shared" si="1"/>
        <v>11</v>
      </c>
      <c r="N17" s="14">
        <f t="shared" si="1"/>
        <v>19</v>
      </c>
      <c r="O17" s="14">
        <f t="shared" si="1"/>
        <v>52</v>
      </c>
      <c r="P17" s="14">
        <f t="shared" ref="P17" si="2">SUM(P5:P15)</f>
        <v>29</v>
      </c>
      <c r="Q17" s="14">
        <f t="shared" ref="Q17" si="3">SUM(Q5:Q15)</f>
        <v>10</v>
      </c>
    </row>
    <row r="18" spans="1:51" x14ac:dyDescent="0.25">
      <c r="B18" s="11" t="s">
        <v>34</v>
      </c>
      <c r="C18" s="8">
        <f>SUM(Experiments!C2:C53)</f>
        <v>33</v>
      </c>
      <c r="D18" s="8">
        <f>SUM(Experiments!D2:D53)</f>
        <v>33</v>
      </c>
      <c r="E18" s="8">
        <f>SUM(Experiments!E2:E53)</f>
        <v>7</v>
      </c>
      <c r="F18" s="8">
        <f>SUM(Experiments!F2:F53)</f>
        <v>10</v>
      </c>
      <c r="G18" s="8">
        <f>SUM(Experiments!G2:G53)</f>
        <v>28</v>
      </c>
      <c r="H18" s="8">
        <f>SUM(Experiments!H2:H53)</f>
        <v>11</v>
      </c>
      <c r="I18" s="18">
        <f>SUM(Experiments!I2:I53)</f>
        <v>7</v>
      </c>
      <c r="J18" s="8">
        <f>SUM(Experiments!J2:J53)</f>
        <v>10</v>
      </c>
      <c r="K18" s="8">
        <f>SUM(Experiments!K2:K53)</f>
        <v>8</v>
      </c>
      <c r="L18" s="8">
        <f>SUM(Experiments!L2:L53)</f>
        <v>28</v>
      </c>
      <c r="M18" s="8">
        <f>SUM(Experiments!M2:M53)</f>
        <v>9</v>
      </c>
      <c r="N18" s="8">
        <f>SUM(Experiments!N2:N53)</f>
        <v>19</v>
      </c>
      <c r="O18" s="8">
        <f>SUM(Experiments!O2:O53)</f>
        <v>52</v>
      </c>
      <c r="P18" s="8">
        <f>SUM(Experiments!P2:P53)</f>
        <v>28</v>
      </c>
      <c r="Q18" s="8">
        <f>SUM(Experiments!Q2:Q53)</f>
        <v>10</v>
      </c>
    </row>
    <row r="19" spans="1:51" x14ac:dyDescent="0.25">
      <c r="B19" s="11" t="s">
        <v>35</v>
      </c>
      <c r="C19" s="8">
        <f>SUM(Experiments!C54:C64)</f>
        <v>0</v>
      </c>
      <c r="D19" s="8">
        <f>SUM(Experiments!D54:D64)</f>
        <v>10</v>
      </c>
      <c r="E19" s="8">
        <f>SUM(Experiments!E54:E64)</f>
        <v>4</v>
      </c>
      <c r="F19" s="8">
        <f>SUM(Experiments!F54:F64)</f>
        <v>1</v>
      </c>
      <c r="G19" s="8">
        <f>SUM(Experiments!G54:G64)</f>
        <v>9</v>
      </c>
      <c r="H19" s="8">
        <f>SUM(Experiments!H54:H64)</f>
        <v>4</v>
      </c>
      <c r="I19" s="18">
        <f>SUM(Experiments!I54:I64)</f>
        <v>4</v>
      </c>
      <c r="J19" s="8">
        <f>SUM(Experiments!J54:J64)</f>
        <v>1</v>
      </c>
      <c r="K19" s="8">
        <f>SUM(Experiments!K54:K64)</f>
        <v>3</v>
      </c>
      <c r="L19" s="8">
        <f>SUM(Experiments!L54:L64)</f>
        <v>9</v>
      </c>
      <c r="M19" s="8">
        <f>SUM(Experiments!M54:M64)</f>
        <v>2</v>
      </c>
      <c r="N19" s="8">
        <f>SUM(Experiments!N54:N64)</f>
        <v>0</v>
      </c>
      <c r="O19" s="8">
        <f>SUM(Experiments!O54:O64)</f>
        <v>0</v>
      </c>
      <c r="P19" s="8">
        <f>SUM(Experiments!P54:P64)</f>
        <v>1</v>
      </c>
      <c r="Q19" s="8">
        <f>SUM(Experiments!Q54:Q64)</f>
        <v>0</v>
      </c>
    </row>
    <row r="21" spans="1:51" x14ac:dyDescent="0.25">
      <c r="A21" t="s">
        <v>55</v>
      </c>
      <c r="B21" s="5" t="s">
        <v>48</v>
      </c>
      <c r="C21" s="53" t="s">
        <v>40</v>
      </c>
      <c r="D21" s="53"/>
      <c r="E21" s="53"/>
      <c r="F21" s="53"/>
      <c r="G21" s="53"/>
      <c r="H21" s="53"/>
      <c r="I21" s="53" t="s">
        <v>41</v>
      </c>
      <c r="J21" s="53"/>
      <c r="K21" s="53"/>
      <c r="L21" s="53"/>
      <c r="M21" s="53"/>
      <c r="N21" s="53"/>
      <c r="O21" s="53"/>
      <c r="Q21" s="1" t="s">
        <v>58</v>
      </c>
      <c r="AR21" s="1" t="s">
        <v>66</v>
      </c>
    </row>
    <row r="22" spans="1:51" ht="90.6" customHeight="1" x14ac:dyDescent="0.25">
      <c r="A22">
        <v>1</v>
      </c>
      <c r="B22" s="7" t="str" cm="1">
        <f t="array" ref="B22:B36">TRANSPOSE(_xlfn.ANCHORARRAY(C4))</f>
        <v>BHN_FWB</v>
      </c>
      <c r="C22" s="49" t="s">
        <v>43</v>
      </c>
      <c r="D22" s="49"/>
      <c r="E22" s="49"/>
      <c r="F22" s="49"/>
      <c r="G22" s="49"/>
      <c r="H22" s="49"/>
      <c r="I22" s="48"/>
      <c r="J22" s="48"/>
      <c r="K22" s="48"/>
      <c r="L22" s="48"/>
      <c r="M22" s="48"/>
      <c r="N22" s="48"/>
      <c r="O22" s="48"/>
      <c r="Q22" s="41" t="e" vm="1">
        <v>#VALUE!</v>
      </c>
      <c r="R22" s="41"/>
      <c r="S22" s="41"/>
      <c r="T22" s="41"/>
      <c r="U22" s="41"/>
      <c r="V22" s="41"/>
      <c r="W22" s="41"/>
      <c r="X22" s="41"/>
      <c r="Y22" s="41"/>
      <c r="Z22" s="41"/>
      <c r="AA22" s="41"/>
      <c r="AB22" s="41" t="e" vm="2">
        <v>#VALUE!</v>
      </c>
      <c r="AC22" s="41"/>
      <c r="AD22" s="41"/>
      <c r="AE22" s="41"/>
      <c r="AF22" s="41"/>
      <c r="AG22" s="41"/>
      <c r="AH22" s="41"/>
      <c r="AI22" s="41"/>
      <c r="AJ22" s="41"/>
      <c r="AK22" s="41"/>
      <c r="AL22" s="41"/>
      <c r="AM22" s="41"/>
      <c r="AN22" s="41"/>
      <c r="AO22" s="41"/>
      <c r="AP22" s="41"/>
      <c r="AQ22" s="41"/>
      <c r="AR22" s="41" t="e" vm="3">
        <v>#VALUE!</v>
      </c>
      <c r="AS22" s="41"/>
      <c r="AT22" s="41"/>
      <c r="AU22" s="41"/>
      <c r="AV22" s="41"/>
      <c r="AW22" s="41"/>
      <c r="AX22" s="41"/>
      <c r="AY22" s="41"/>
    </row>
    <row r="23" spans="1:51" ht="87.6" customHeight="1" x14ac:dyDescent="0.25">
      <c r="A23">
        <v>1</v>
      </c>
      <c r="B23" s="7" t="str">
        <v>BHN_FWB_AllExt</v>
      </c>
      <c r="C23" s="49" t="s">
        <v>42</v>
      </c>
      <c r="D23" s="49"/>
      <c r="E23" s="49"/>
      <c r="F23" s="49"/>
      <c r="G23" s="49"/>
      <c r="H23" s="49"/>
      <c r="I23" s="48"/>
      <c r="J23" s="48"/>
      <c r="K23" s="48"/>
      <c r="L23" s="48"/>
      <c r="M23" s="48"/>
      <c r="N23" s="48"/>
      <c r="O23" s="48"/>
      <c r="Q23" s="41"/>
      <c r="R23" s="41"/>
      <c r="S23" s="41"/>
      <c r="T23" s="41"/>
      <c r="U23" s="41"/>
      <c r="V23" s="41"/>
      <c r="W23" s="41"/>
      <c r="X23" s="41"/>
      <c r="Y23" s="41"/>
      <c r="Z23" s="41"/>
      <c r="AA23" s="41"/>
      <c r="AB23" s="41"/>
      <c r="AC23" s="41"/>
      <c r="AD23" s="41"/>
      <c r="AE23" s="41"/>
      <c r="AF23" s="41"/>
      <c r="AG23" s="41"/>
      <c r="AH23" s="41"/>
      <c r="AI23" s="41"/>
      <c r="AJ23" s="41"/>
      <c r="AK23" s="41"/>
      <c r="AL23" s="41"/>
      <c r="AM23" s="41"/>
      <c r="AN23" s="41"/>
      <c r="AO23" s="41"/>
      <c r="AP23" s="41"/>
      <c r="AQ23" s="41"/>
      <c r="AR23" s="41"/>
      <c r="AS23" s="41"/>
      <c r="AT23" s="41"/>
      <c r="AU23" s="41"/>
      <c r="AV23" s="41"/>
      <c r="AW23" s="41"/>
      <c r="AX23" s="41"/>
      <c r="AY23" s="41"/>
    </row>
    <row r="24" spans="1:51" ht="108.6" customHeight="1" x14ac:dyDescent="0.25">
      <c r="A24">
        <v>1</v>
      </c>
      <c r="B24" s="7" t="str">
        <v>Few_indicators_closest_DLS_coverage</v>
      </c>
      <c r="C24" s="49" t="s">
        <v>46</v>
      </c>
      <c r="D24" s="49"/>
      <c r="E24" s="49"/>
      <c r="F24" s="49"/>
      <c r="G24" s="49"/>
      <c r="H24" s="49"/>
      <c r="I24" s="48"/>
      <c r="J24" s="48"/>
      <c r="K24" s="48"/>
      <c r="L24" s="48"/>
      <c r="M24" s="48"/>
      <c r="N24" s="48"/>
      <c r="O24" s="48"/>
      <c r="Q24" s="41"/>
      <c r="R24" s="41"/>
      <c r="S24" s="41"/>
      <c r="T24" s="41"/>
      <c r="U24" s="41"/>
      <c r="V24" s="41"/>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c r="AV24" s="41"/>
      <c r="AW24" s="41"/>
      <c r="AX24" s="41"/>
      <c r="AY24" s="41"/>
    </row>
    <row r="25" spans="1:51" ht="81.599999999999994" customHeight="1" x14ac:dyDescent="0.25">
      <c r="A25">
        <v>1</v>
      </c>
      <c r="B25" s="7" t="str">
        <v>Few_indicators_SPI_preferred</v>
      </c>
      <c r="C25" s="49" t="s">
        <v>47</v>
      </c>
      <c r="D25" s="49"/>
      <c r="E25" s="49"/>
      <c r="F25" s="49"/>
      <c r="G25" s="49"/>
      <c r="H25" s="49"/>
      <c r="I25" s="48"/>
      <c r="J25" s="48"/>
      <c r="K25" s="48"/>
      <c r="L25" s="48"/>
      <c r="M25" s="48"/>
      <c r="N25" s="48"/>
      <c r="O25" s="48"/>
      <c r="Q25" s="41"/>
      <c r="R25" s="41"/>
      <c r="S25" s="41"/>
      <c r="T25" s="41"/>
      <c r="U25" s="41"/>
      <c r="V25" s="41"/>
      <c r="W25" s="41"/>
      <c r="X25" s="41"/>
      <c r="Y25" s="41"/>
      <c r="Z25" s="41"/>
      <c r="AA25" s="41"/>
      <c r="AB25" s="41"/>
      <c r="AC25" s="41"/>
      <c r="AD25" s="41"/>
      <c r="AE25" s="41"/>
      <c r="AF25" s="41"/>
      <c r="AG25" s="41"/>
      <c r="AH25" s="41"/>
      <c r="AI25" s="41"/>
      <c r="AJ25" s="41"/>
      <c r="AK25" s="41"/>
      <c r="AL25" s="41"/>
      <c r="AM25" s="41"/>
      <c r="AN25" s="41"/>
      <c r="AO25" s="41"/>
      <c r="AP25" s="41"/>
      <c r="AQ25" s="41"/>
    </row>
    <row r="26" spans="1:51" ht="69.599999999999994" customHeight="1" x14ac:dyDescent="0.25">
      <c r="A26">
        <v>1</v>
      </c>
      <c r="B26" s="7" t="str">
        <v>No_non_DLS</v>
      </c>
      <c r="C26" s="50" t="s">
        <v>44</v>
      </c>
      <c r="D26" s="50"/>
      <c r="E26" s="50"/>
      <c r="F26" s="50"/>
      <c r="G26" s="50"/>
      <c r="H26" s="50"/>
      <c r="I26" s="48"/>
      <c r="J26" s="48"/>
      <c r="K26" s="48"/>
      <c r="L26" s="48"/>
      <c r="M26" s="48"/>
      <c r="N26" s="48"/>
      <c r="O26" s="48"/>
      <c r="Q26" s="41" t="e" vm="4">
        <v>#VALUE!</v>
      </c>
      <c r="R26" s="41"/>
      <c r="S26" s="41"/>
      <c r="T26" s="41"/>
      <c r="U26" s="41"/>
      <c r="V26" s="41"/>
      <c r="W26" s="41"/>
      <c r="X26" s="41"/>
      <c r="Y26" s="41"/>
      <c r="Z26" s="41"/>
      <c r="AA26" s="41"/>
      <c r="AB26" s="41"/>
      <c r="AC26" s="41"/>
      <c r="AD26" s="41"/>
      <c r="AE26" s="41"/>
      <c r="AF26" s="41"/>
      <c r="AG26" s="41"/>
      <c r="AH26" s="41"/>
      <c r="AI26" s="41"/>
      <c r="AJ26" s="41"/>
      <c r="AK26" s="41"/>
      <c r="AL26" s="41"/>
      <c r="AM26" s="41"/>
      <c r="AN26" s="41"/>
      <c r="AO26" s="41"/>
      <c r="AP26" s="41"/>
      <c r="AQ26" s="41"/>
    </row>
    <row r="27" spans="1:51" ht="93" customHeight="1" x14ac:dyDescent="0.25">
      <c r="A27">
        <v>1</v>
      </c>
      <c r="B27" s="7" t="str">
        <v>Only_%_of_pop</v>
      </c>
      <c r="C27" s="50" t="s">
        <v>50</v>
      </c>
      <c r="D27" s="50"/>
      <c r="E27" s="50"/>
      <c r="F27" s="50"/>
      <c r="G27" s="50"/>
      <c r="H27" s="50"/>
      <c r="I27" s="48"/>
      <c r="J27" s="48"/>
      <c r="K27" s="48"/>
      <c r="L27" s="48"/>
      <c r="M27" s="48"/>
      <c r="N27" s="48"/>
      <c r="O27" s="48"/>
      <c r="Q27" s="41"/>
      <c r="R27" s="41"/>
      <c r="S27" s="41"/>
      <c r="T27" s="41"/>
      <c r="U27" s="41"/>
      <c r="V27" s="41"/>
      <c r="W27" s="41"/>
      <c r="X27" s="41"/>
      <c r="Y27" s="41"/>
      <c r="Z27" s="41"/>
      <c r="AA27" s="41"/>
      <c r="AB27" s="41"/>
      <c r="AC27" s="41"/>
      <c r="AD27" s="41"/>
      <c r="AE27" s="41"/>
      <c r="AF27" s="41"/>
      <c r="AG27" s="41"/>
      <c r="AH27" s="41"/>
      <c r="AI27" s="41"/>
      <c r="AJ27" s="41"/>
      <c r="AK27" s="41"/>
      <c r="AL27" s="41"/>
      <c r="AM27" s="41"/>
      <c r="AN27" s="41"/>
      <c r="AO27" s="41"/>
      <c r="AP27" s="41"/>
      <c r="AQ27" s="41"/>
    </row>
    <row r="28" spans="1:51" ht="65.45" customHeight="1" x14ac:dyDescent="0.25">
      <c r="A28">
        <v>2</v>
      </c>
      <c r="B28" s="17" t="str">
        <v>Few_indicators_closest_DLS_coverage_90</v>
      </c>
      <c r="C28" s="44" t="s">
        <v>60</v>
      </c>
      <c r="D28" s="44"/>
      <c r="E28" s="44"/>
      <c r="F28" s="44"/>
      <c r="G28" s="44"/>
      <c r="H28" s="44"/>
      <c r="I28" s="46"/>
      <c r="J28" s="46"/>
      <c r="K28" s="46"/>
      <c r="L28" s="46"/>
      <c r="M28" s="46"/>
      <c r="N28" s="46"/>
      <c r="O28" s="46"/>
      <c r="Q28" s="41"/>
      <c r="R28" s="41"/>
      <c r="S28" s="41"/>
      <c r="T28" s="41"/>
      <c r="U28" s="41"/>
      <c r="V28" s="41"/>
      <c r="W28" s="41"/>
      <c r="X28" s="41"/>
      <c r="Y28" s="41"/>
      <c r="Z28" s="41"/>
      <c r="AA28" s="41"/>
      <c r="AB28" s="41" t="e" vm="5">
        <v>#VALUE!</v>
      </c>
      <c r="AC28" s="41"/>
      <c r="AD28" s="41"/>
      <c r="AE28" s="41"/>
      <c r="AF28" s="41"/>
      <c r="AG28" s="41"/>
      <c r="AH28" s="41"/>
      <c r="AI28" s="41"/>
      <c r="AJ28" s="41"/>
      <c r="AK28" s="41"/>
      <c r="AL28" s="41"/>
      <c r="AM28" s="41"/>
      <c r="AN28" s="41"/>
      <c r="AO28" s="41"/>
      <c r="AP28" s="41"/>
      <c r="AQ28" s="41"/>
    </row>
    <row r="29" spans="1:51" ht="67.150000000000006" customHeight="1" x14ac:dyDescent="0.25">
      <c r="A29">
        <v>2</v>
      </c>
      <c r="B29" s="17" t="str">
        <v>Few_indicators_SPI_preferred_90</v>
      </c>
      <c r="C29" s="44" t="s">
        <v>60</v>
      </c>
      <c r="D29" s="44"/>
      <c r="E29" s="44"/>
      <c r="F29" s="44"/>
      <c r="G29" s="44"/>
      <c r="H29" s="44"/>
      <c r="I29" s="46"/>
      <c r="J29" s="46"/>
      <c r="K29" s="46"/>
      <c r="L29" s="46"/>
      <c r="M29" s="46"/>
      <c r="N29" s="46"/>
      <c r="O29" s="46"/>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row>
    <row r="30" spans="1:51" ht="55.9" customHeight="1" x14ac:dyDescent="0.25">
      <c r="A30">
        <v>3</v>
      </c>
      <c r="B30" s="17" t="str">
        <v>Few_indicators_closeDLS_subPrimSchool</v>
      </c>
      <c r="C30" s="42" t="s">
        <v>63</v>
      </c>
      <c r="D30" s="42"/>
      <c r="E30" s="42"/>
      <c r="F30" s="42"/>
      <c r="G30" s="42"/>
      <c r="H30" s="42"/>
      <c r="I30" s="46"/>
      <c r="J30" s="46"/>
      <c r="K30" s="46"/>
      <c r="L30" s="46"/>
      <c r="M30" s="46"/>
      <c r="N30" s="46"/>
      <c r="O30" s="46"/>
      <c r="Q30" s="41" t="e" vm="6">
        <v>#VALUE!</v>
      </c>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row>
    <row r="31" spans="1:51" ht="54.6" customHeight="1" x14ac:dyDescent="0.25">
      <c r="A31">
        <v>3</v>
      </c>
      <c r="B31" s="17" t="str">
        <v>No_non_DLS_90</v>
      </c>
      <c r="C31" s="44" t="s">
        <v>60</v>
      </c>
      <c r="D31" s="44"/>
      <c r="E31" s="44"/>
      <c r="F31" s="44"/>
      <c r="G31" s="44"/>
      <c r="H31" s="44"/>
      <c r="I31" s="46"/>
      <c r="J31" s="46"/>
      <c r="K31" s="46"/>
      <c r="L31" s="46"/>
      <c r="M31" s="46"/>
      <c r="N31" s="46"/>
      <c r="O31" s="46"/>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row>
    <row r="32" spans="1:51" ht="103.9" customHeight="1" x14ac:dyDescent="0.25">
      <c r="A32">
        <v>3</v>
      </c>
      <c r="B32" s="17" t="str">
        <v>Few_Indicators_subWatSani</v>
      </c>
      <c r="C32" s="44" t="s">
        <v>65</v>
      </c>
      <c r="D32" s="44"/>
      <c r="E32" s="44"/>
      <c r="F32" s="44"/>
      <c r="G32" s="44"/>
      <c r="H32" s="44"/>
      <c r="I32" s="46"/>
      <c r="J32" s="46"/>
      <c r="K32" s="46"/>
      <c r="L32" s="46"/>
      <c r="M32" s="46"/>
      <c r="N32" s="46"/>
      <c r="O32" s="46"/>
      <c r="Q32" s="41"/>
      <c r="R32" s="41"/>
      <c r="S32" s="41"/>
      <c r="T32" s="41"/>
      <c r="U32" s="41"/>
      <c r="V32" s="41"/>
      <c r="W32" s="41"/>
      <c r="X32" s="41"/>
      <c r="Y32" s="41"/>
      <c r="Z32" s="41"/>
      <c r="AA32" s="41"/>
      <c r="AB32" s="41" t="e" vm="7">
        <v>#VALUE!</v>
      </c>
      <c r="AC32" s="41"/>
      <c r="AD32" s="41"/>
      <c r="AE32" s="41"/>
      <c r="AF32" s="41"/>
      <c r="AG32" s="41"/>
      <c r="AH32" s="41"/>
      <c r="AI32" s="41"/>
      <c r="AJ32" s="41"/>
      <c r="AK32" s="41"/>
      <c r="AL32" s="41"/>
      <c r="AM32" s="41"/>
      <c r="AN32" s="41"/>
      <c r="AO32" s="41"/>
      <c r="AP32" s="41"/>
      <c r="AQ32" s="41"/>
    </row>
    <row r="33" spans="1:43" x14ac:dyDescent="0.25">
      <c r="A33">
        <v>4</v>
      </c>
      <c r="B33" s="6" t="str">
        <v>Only_OPP</v>
      </c>
      <c r="C33" s="45" t="s">
        <v>68</v>
      </c>
      <c r="D33" s="45"/>
      <c r="E33" s="45"/>
      <c r="F33" s="45"/>
      <c r="G33" s="45"/>
      <c r="H33" s="45"/>
      <c r="I33" s="43"/>
      <c r="J33" s="43"/>
      <c r="K33" s="43"/>
      <c r="L33" s="43"/>
      <c r="M33" s="43"/>
      <c r="N33" s="43"/>
      <c r="O33" s="43"/>
      <c r="Q33" s="41"/>
      <c r="R33" s="41"/>
      <c r="S33" s="41"/>
      <c r="T33" s="41"/>
      <c r="U33" s="41"/>
      <c r="V33" s="41"/>
      <c r="W33" s="41"/>
      <c r="X33" s="41"/>
      <c r="Y33" s="41"/>
      <c r="Z33" s="41"/>
      <c r="AA33" s="41"/>
      <c r="AB33" s="41"/>
      <c r="AC33" s="41"/>
      <c r="AD33" s="41"/>
      <c r="AE33" s="41"/>
      <c r="AF33" s="41"/>
      <c r="AG33" s="41"/>
      <c r="AH33" s="41"/>
      <c r="AI33" s="41"/>
      <c r="AJ33" s="41"/>
      <c r="AK33" s="41"/>
      <c r="AL33" s="41"/>
      <c r="AM33" s="41"/>
      <c r="AN33" s="41"/>
      <c r="AO33" s="41"/>
      <c r="AP33" s="41"/>
      <c r="AQ33" s="41"/>
    </row>
    <row r="34" spans="1:43" x14ac:dyDescent="0.25">
      <c r="B34" s="6" t="str">
        <v>Baseline</v>
      </c>
      <c r="C34" s="43"/>
      <c r="D34" s="43"/>
      <c r="E34" s="43"/>
      <c r="F34" s="43"/>
      <c r="G34" s="43"/>
      <c r="H34" s="43"/>
      <c r="I34" s="43"/>
      <c r="J34" s="43"/>
      <c r="K34" s="43"/>
      <c r="L34" s="43"/>
      <c r="M34" s="43"/>
      <c r="N34" s="43"/>
      <c r="O34" s="43"/>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row>
    <row r="35" spans="1:43" x14ac:dyDescent="0.25">
      <c r="B35" s="6" t="str">
        <v>No_nonDLS_limExt</v>
      </c>
      <c r="C35" s="43"/>
      <c r="D35" s="43"/>
      <c r="E35" s="43"/>
      <c r="F35" s="43"/>
      <c r="G35" s="43"/>
      <c r="H35" s="43"/>
      <c r="I35" s="43" t="s">
        <v>71</v>
      </c>
      <c r="J35" s="43"/>
      <c r="K35" s="43"/>
      <c r="L35" s="43"/>
      <c r="M35" s="43"/>
      <c r="N35" s="43"/>
      <c r="O35" s="43"/>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row>
    <row r="36" spans="1:43" ht="99" customHeight="1" x14ac:dyDescent="0.25">
      <c r="B36" s="6" t="str">
        <v>BHN</v>
      </c>
      <c r="C36" s="47" t="s">
        <v>72</v>
      </c>
      <c r="D36" s="47"/>
      <c r="E36" s="47"/>
      <c r="F36" s="47"/>
      <c r="G36" s="47"/>
      <c r="H36" s="47"/>
      <c r="I36" s="43"/>
      <c r="J36" s="43"/>
      <c r="K36" s="43"/>
      <c r="L36" s="43"/>
      <c r="M36" s="43"/>
      <c r="N36" s="43"/>
      <c r="O36" s="43"/>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row>
    <row r="37" spans="1:43" x14ac:dyDescent="0.25">
      <c r="AB37" s="41"/>
      <c r="AC37" s="41"/>
      <c r="AD37" s="41"/>
      <c r="AE37" s="41"/>
      <c r="AF37" s="41"/>
      <c r="AG37" s="41"/>
      <c r="AH37" s="41"/>
      <c r="AI37" s="41"/>
      <c r="AJ37" s="41"/>
      <c r="AK37" s="41"/>
      <c r="AL37" s="41"/>
      <c r="AM37" s="41"/>
      <c r="AN37" s="41"/>
      <c r="AO37" s="41"/>
      <c r="AP37" s="41"/>
      <c r="AQ37" s="41"/>
    </row>
    <row r="38" spans="1:43" x14ac:dyDescent="0.25">
      <c r="AB38" s="41"/>
      <c r="AC38" s="41"/>
      <c r="AD38" s="41"/>
      <c r="AE38" s="41"/>
      <c r="AF38" s="41"/>
      <c r="AG38" s="41"/>
      <c r="AH38" s="41"/>
      <c r="AI38" s="41"/>
      <c r="AJ38" s="41"/>
      <c r="AK38" s="41"/>
      <c r="AL38" s="41"/>
      <c r="AM38" s="41"/>
      <c r="AN38" s="41"/>
      <c r="AO38" s="41"/>
      <c r="AP38" s="41"/>
      <c r="AQ38" s="41"/>
    </row>
    <row r="39" spans="1:43" x14ac:dyDescent="0.25">
      <c r="AB39" s="41"/>
      <c r="AC39" s="41"/>
      <c r="AD39" s="41"/>
      <c r="AE39" s="41"/>
      <c r="AF39" s="41"/>
      <c r="AG39" s="41"/>
      <c r="AH39" s="41"/>
      <c r="AI39" s="41"/>
      <c r="AJ39" s="41"/>
      <c r="AK39" s="41"/>
      <c r="AL39" s="41"/>
      <c r="AM39" s="41"/>
      <c r="AN39" s="41"/>
      <c r="AO39" s="41"/>
      <c r="AP39" s="41"/>
      <c r="AQ39" s="41"/>
    </row>
    <row r="40" spans="1:43" x14ac:dyDescent="0.25">
      <c r="AB40" s="41"/>
      <c r="AC40" s="41"/>
      <c r="AD40" s="41"/>
      <c r="AE40" s="41"/>
      <c r="AF40" s="41"/>
      <c r="AG40" s="41"/>
      <c r="AH40" s="41"/>
      <c r="AI40" s="41"/>
      <c r="AJ40" s="41"/>
      <c r="AK40" s="41"/>
      <c r="AL40" s="41"/>
      <c r="AM40" s="41"/>
      <c r="AN40" s="41"/>
      <c r="AO40" s="41"/>
      <c r="AP40" s="41"/>
      <c r="AQ40" s="41"/>
    </row>
    <row r="41" spans="1:43" x14ac:dyDescent="0.25">
      <c r="AB41" s="41"/>
      <c r="AC41" s="41"/>
      <c r="AD41" s="41"/>
      <c r="AE41" s="41"/>
      <c r="AF41" s="41"/>
      <c r="AG41" s="41"/>
      <c r="AH41" s="41"/>
      <c r="AI41" s="41"/>
      <c r="AJ41" s="41"/>
      <c r="AK41" s="41"/>
      <c r="AL41" s="41"/>
      <c r="AM41" s="41"/>
      <c r="AN41" s="41"/>
      <c r="AO41" s="41"/>
      <c r="AP41" s="41"/>
      <c r="AQ41" s="41"/>
    </row>
    <row r="42" spans="1:43" x14ac:dyDescent="0.25">
      <c r="AB42" s="41" t="e" vm="8">
        <v>#VALUE!</v>
      </c>
      <c r="AC42" s="41"/>
      <c r="AD42" s="41"/>
      <c r="AE42" s="41"/>
      <c r="AF42" s="41"/>
      <c r="AG42" s="41"/>
      <c r="AH42" s="41"/>
      <c r="AI42" s="41"/>
      <c r="AJ42" s="41"/>
      <c r="AK42" s="41"/>
      <c r="AL42" s="41"/>
      <c r="AM42" s="41"/>
      <c r="AN42" s="41"/>
      <c r="AO42" s="41"/>
      <c r="AP42" s="41"/>
      <c r="AQ42" s="41"/>
    </row>
    <row r="43" spans="1:43" x14ac:dyDescent="0.25">
      <c r="AB43" s="41"/>
      <c r="AC43" s="41"/>
      <c r="AD43" s="41"/>
      <c r="AE43" s="41"/>
      <c r="AF43" s="41"/>
      <c r="AG43" s="41"/>
      <c r="AH43" s="41"/>
      <c r="AI43" s="41"/>
      <c r="AJ43" s="41"/>
      <c r="AK43" s="41"/>
      <c r="AL43" s="41"/>
      <c r="AM43" s="41"/>
      <c r="AN43" s="41"/>
      <c r="AO43" s="41"/>
      <c r="AP43" s="41"/>
      <c r="AQ43" s="41"/>
    </row>
    <row r="44" spans="1:43" x14ac:dyDescent="0.25">
      <c r="AB44" s="41"/>
      <c r="AC44" s="41"/>
      <c r="AD44" s="41"/>
      <c r="AE44" s="41"/>
      <c r="AF44" s="41"/>
      <c r="AG44" s="41"/>
      <c r="AH44" s="41"/>
      <c r="AI44" s="41"/>
      <c r="AJ44" s="41"/>
      <c r="AK44" s="41"/>
      <c r="AL44" s="41"/>
      <c r="AM44" s="41"/>
      <c r="AN44" s="41"/>
      <c r="AO44" s="41"/>
      <c r="AP44" s="41"/>
      <c r="AQ44" s="41"/>
    </row>
    <row r="45" spans="1:43" x14ac:dyDescent="0.25">
      <c r="AB45" s="41"/>
      <c r="AC45" s="41"/>
      <c r="AD45" s="41"/>
      <c r="AE45" s="41"/>
      <c r="AF45" s="41"/>
      <c r="AG45" s="41"/>
      <c r="AH45" s="41"/>
      <c r="AI45" s="41"/>
      <c r="AJ45" s="41"/>
      <c r="AK45" s="41"/>
      <c r="AL45" s="41"/>
      <c r="AM45" s="41"/>
      <c r="AN45" s="41"/>
      <c r="AO45" s="41"/>
      <c r="AP45" s="41"/>
      <c r="AQ45" s="41"/>
    </row>
    <row r="46" spans="1:43" x14ac:dyDescent="0.25">
      <c r="AB46" s="41"/>
      <c r="AC46" s="41"/>
      <c r="AD46" s="41"/>
      <c r="AE46" s="41"/>
      <c r="AF46" s="41"/>
      <c r="AG46" s="41"/>
      <c r="AH46" s="41"/>
      <c r="AI46" s="41"/>
      <c r="AJ46" s="41"/>
      <c r="AK46" s="41"/>
      <c r="AL46" s="41"/>
      <c r="AM46" s="41"/>
      <c r="AN46" s="41"/>
      <c r="AO46" s="41"/>
      <c r="AP46" s="41"/>
      <c r="AQ46" s="41"/>
    </row>
    <row r="47" spans="1:43" x14ac:dyDescent="0.25">
      <c r="AB47" s="41"/>
      <c r="AC47" s="41"/>
      <c r="AD47" s="41"/>
      <c r="AE47" s="41"/>
      <c r="AF47" s="41"/>
      <c r="AG47" s="41"/>
      <c r="AH47" s="41"/>
      <c r="AI47" s="41"/>
      <c r="AJ47" s="41"/>
      <c r="AK47" s="41"/>
      <c r="AL47" s="41"/>
      <c r="AM47" s="41"/>
      <c r="AN47" s="41"/>
      <c r="AO47" s="41"/>
      <c r="AP47" s="41"/>
      <c r="AQ47" s="41"/>
    </row>
    <row r="48" spans="1:43" x14ac:dyDescent="0.25">
      <c r="AB48" s="41"/>
      <c r="AC48" s="41"/>
      <c r="AD48" s="41"/>
      <c r="AE48" s="41"/>
      <c r="AF48" s="41"/>
      <c r="AG48" s="41"/>
      <c r="AH48" s="41"/>
      <c r="AI48" s="41"/>
      <c r="AJ48" s="41"/>
      <c r="AK48" s="41"/>
      <c r="AL48" s="41"/>
      <c r="AM48" s="41"/>
      <c r="AN48" s="41"/>
      <c r="AO48" s="41"/>
      <c r="AP48" s="41"/>
      <c r="AQ48" s="41"/>
    </row>
    <row r="49" spans="28:43" x14ac:dyDescent="0.25">
      <c r="AB49" s="41"/>
      <c r="AC49" s="41"/>
      <c r="AD49" s="41"/>
      <c r="AE49" s="41"/>
      <c r="AF49" s="41"/>
      <c r="AG49" s="41"/>
      <c r="AH49" s="41"/>
      <c r="AI49" s="41"/>
      <c r="AJ49" s="41"/>
      <c r="AK49" s="41"/>
      <c r="AL49" s="41"/>
      <c r="AM49" s="41"/>
      <c r="AN49" s="41"/>
      <c r="AO49" s="41"/>
      <c r="AP49" s="41"/>
      <c r="AQ49" s="41"/>
    </row>
    <row r="50" spans="28:43" x14ac:dyDescent="0.25">
      <c r="AB50" s="41"/>
      <c r="AC50" s="41"/>
      <c r="AD50" s="41"/>
      <c r="AE50" s="41"/>
      <c r="AF50" s="41"/>
      <c r="AG50" s="41"/>
      <c r="AH50" s="41"/>
      <c r="AI50" s="41"/>
      <c r="AJ50" s="41"/>
      <c r="AK50" s="41"/>
      <c r="AL50" s="41"/>
      <c r="AM50" s="41"/>
      <c r="AN50" s="41"/>
      <c r="AO50" s="41"/>
      <c r="AP50" s="41"/>
      <c r="AQ50" s="41"/>
    </row>
    <row r="51" spans="28:43" x14ac:dyDescent="0.25">
      <c r="AB51" s="41"/>
      <c r="AC51" s="41"/>
      <c r="AD51" s="41"/>
      <c r="AE51" s="41"/>
      <c r="AF51" s="41"/>
      <c r="AG51" s="41"/>
      <c r="AH51" s="41"/>
      <c r="AI51" s="41"/>
      <c r="AJ51" s="41"/>
      <c r="AK51" s="41"/>
      <c r="AL51" s="41"/>
      <c r="AM51" s="41"/>
      <c r="AN51" s="41"/>
      <c r="AO51" s="41"/>
      <c r="AP51" s="41"/>
      <c r="AQ51" s="41"/>
    </row>
    <row r="52" spans="28:43" x14ac:dyDescent="0.25">
      <c r="AB52" s="41"/>
      <c r="AC52" s="41"/>
      <c r="AD52" s="41"/>
      <c r="AE52" s="41"/>
      <c r="AF52" s="41"/>
      <c r="AG52" s="41"/>
      <c r="AH52" s="41"/>
      <c r="AI52" s="41"/>
      <c r="AJ52" s="41"/>
      <c r="AK52" s="41"/>
      <c r="AL52" s="41"/>
      <c r="AM52" s="41"/>
      <c r="AN52" s="41"/>
      <c r="AO52" s="41"/>
      <c r="AP52" s="41"/>
      <c r="AQ52" s="41"/>
    </row>
    <row r="53" spans="28:43" x14ac:dyDescent="0.25">
      <c r="AB53" s="41"/>
      <c r="AC53" s="41"/>
      <c r="AD53" s="41"/>
      <c r="AE53" s="41"/>
      <c r="AF53" s="41"/>
      <c r="AG53" s="41"/>
      <c r="AH53" s="41"/>
      <c r="AI53" s="41"/>
      <c r="AJ53" s="41"/>
      <c r="AK53" s="41"/>
      <c r="AL53" s="41"/>
      <c r="AM53" s="41"/>
      <c r="AN53" s="41"/>
      <c r="AO53" s="41"/>
      <c r="AP53" s="41"/>
      <c r="AQ53" s="41"/>
    </row>
  </sheetData>
  <mergeCells count="43">
    <mergeCell ref="C27:H27"/>
    <mergeCell ref="I24:O24"/>
    <mergeCell ref="I25:O25"/>
    <mergeCell ref="I3:J3"/>
    <mergeCell ref="I21:O21"/>
    <mergeCell ref="C22:H22"/>
    <mergeCell ref="C23:H23"/>
    <mergeCell ref="I22:O22"/>
    <mergeCell ref="I23:O23"/>
    <mergeCell ref="C3:H3"/>
    <mergeCell ref="C21:H21"/>
    <mergeCell ref="C28:H28"/>
    <mergeCell ref="I28:O28"/>
    <mergeCell ref="I29:O29"/>
    <mergeCell ref="AR22:AY24"/>
    <mergeCell ref="Q30:AA36"/>
    <mergeCell ref="AB32:AQ41"/>
    <mergeCell ref="I26:O26"/>
    <mergeCell ref="I27:O27"/>
    <mergeCell ref="I32:O32"/>
    <mergeCell ref="I33:O33"/>
    <mergeCell ref="I34:O34"/>
    <mergeCell ref="AB22:AQ27"/>
    <mergeCell ref="Q22:AA25"/>
    <mergeCell ref="C24:H24"/>
    <mergeCell ref="C25:H25"/>
    <mergeCell ref="C26:H26"/>
    <mergeCell ref="T4:X4"/>
    <mergeCell ref="AB42:AQ53"/>
    <mergeCell ref="C30:H30"/>
    <mergeCell ref="AB28:AQ31"/>
    <mergeCell ref="Q26:AA29"/>
    <mergeCell ref="I35:O35"/>
    <mergeCell ref="C29:H29"/>
    <mergeCell ref="C31:H31"/>
    <mergeCell ref="C32:H32"/>
    <mergeCell ref="C33:H33"/>
    <mergeCell ref="C34:H34"/>
    <mergeCell ref="C35:H35"/>
    <mergeCell ref="I30:O30"/>
    <mergeCell ref="I31:O31"/>
    <mergeCell ref="C36:H36"/>
    <mergeCell ref="I36:O36"/>
  </mergeCells>
  <conditionalFormatting sqref="C5:Q15">
    <cfRule type="cellIs" dxfId="2" priority="1" operator="greaterThan">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96A80-D06A-496C-A485-2D593CA0EE86}">
  <sheetPr>
    <tabColor theme="2" tint="-0.249977111117893"/>
  </sheetPr>
  <dimension ref="A1:AY53"/>
  <sheetViews>
    <sheetView topLeftCell="A4" zoomScale="115" zoomScaleNormal="115" workbookViewId="0">
      <selection activeCell="B4" sqref="B4:S19"/>
    </sheetView>
  </sheetViews>
  <sheetFormatPr defaultRowHeight="15" x14ac:dyDescent="0.25"/>
  <cols>
    <col min="2" max="2" width="35.28515625" customWidth="1"/>
    <col min="4" max="4" width="6" customWidth="1"/>
    <col min="5" max="16" width="4.28515625" customWidth="1"/>
    <col min="19" max="19" width="8.85546875" customWidth="1"/>
  </cols>
  <sheetData>
    <row r="1" spans="1:24" x14ac:dyDescent="0.25">
      <c r="A1" s="1" t="s">
        <v>73</v>
      </c>
    </row>
    <row r="3" spans="1:24" x14ac:dyDescent="0.25">
      <c r="B3" s="11" t="s">
        <v>45</v>
      </c>
      <c r="C3" s="51"/>
      <c r="D3" s="52"/>
      <c r="E3" s="52"/>
      <c r="F3" s="52"/>
      <c r="G3" s="52"/>
      <c r="H3" s="54"/>
      <c r="I3" s="51"/>
      <c r="J3" s="52"/>
      <c r="K3" s="8"/>
      <c r="L3" s="8"/>
      <c r="M3" s="8"/>
      <c r="N3" s="8"/>
      <c r="O3" s="8"/>
      <c r="T3" s="22" t="s">
        <v>51</v>
      </c>
      <c r="U3" s="22"/>
      <c r="V3" s="22"/>
      <c r="W3" s="22"/>
      <c r="X3" s="22"/>
    </row>
    <row r="4" spans="1:24" ht="221.45" customHeight="1" x14ac:dyDescent="0.25">
      <c r="B4" s="15" t="s">
        <v>16</v>
      </c>
      <c r="C4" s="25" t="str" cm="1">
        <f t="array" ref="C4:S4">Experiments!C1:S1</f>
        <v>BHN_FWB</v>
      </c>
      <c r="D4" s="23" t="str">
        <v>BHN_FWB_AllExt</v>
      </c>
      <c r="E4" s="9" t="str">
        <v>Few_indicators_closest_DLS_coverage</v>
      </c>
      <c r="F4" s="9" t="str">
        <v>Few_indicators_SPI_preferred</v>
      </c>
      <c r="G4" s="9" t="str">
        <v>No_non_DLS</v>
      </c>
      <c r="H4" s="24" t="str">
        <v>Only_%_of_pop</v>
      </c>
      <c r="I4" s="25" t="str">
        <v>Few_indicators_closest_DLS_coverage_90</v>
      </c>
      <c r="J4" s="9" t="str">
        <v>Few_indicators_SPI_preferred_90</v>
      </c>
      <c r="K4" s="23" t="str">
        <v>Few_indicators_closeDLS_subPrimSchool</v>
      </c>
      <c r="L4" s="23" t="str">
        <v>No_non_DLS_90</v>
      </c>
      <c r="M4" s="23" t="str">
        <v>Few_Indicators_subWatSani</v>
      </c>
      <c r="N4" s="23" t="str">
        <v>Only_OPP</v>
      </c>
      <c r="O4" s="9" t="str">
        <v>Baseline</v>
      </c>
      <c r="P4" s="29" t="str">
        <v>No_nonDLS_limExt</v>
      </c>
      <c r="Q4" s="23" t="str">
        <v>BHN</v>
      </c>
      <c r="R4" s="29" t="str">
        <v>No_non_DLS_BHNFWB</v>
      </c>
      <c r="S4" s="29" t="str">
        <v>All_indicators</v>
      </c>
      <c r="T4" s="40" t="s">
        <v>75</v>
      </c>
      <c r="U4" s="40"/>
      <c r="V4" s="40"/>
      <c r="W4" s="40"/>
      <c r="X4" s="40"/>
    </row>
    <row r="5" spans="1:24" x14ac:dyDescent="0.25">
      <c r="B5" s="11" t="str" cm="1">
        <f t="array" ref="B5:B15">_xlfn.UNIQUE('Overview of indicators and DLS'!C4:C67)</f>
        <v>Food &amp; Nutrition</v>
      </c>
      <c r="C5" s="18" cm="1">
        <f t="array" ref="C5">SUMPRODUCT(('Overview of indicators and DLS'!$C$4:$C$66=$B5)*(Experiments!C$2:C$64=1))</f>
        <v>3</v>
      </c>
      <c r="D5" s="8" cm="1">
        <f t="array" ref="D5">SUMPRODUCT(('Overview of indicators and DLS'!$C$4:$C$66=$B5)*(Experiments!D$2:D$64=1))</f>
        <v>5</v>
      </c>
      <c r="E5" s="8" cm="1">
        <f t="array" ref="E5">SUMPRODUCT(('Overview of indicators and DLS'!$C$4:$C$66=$B5)*(Experiments!E$2:E$64=1))</f>
        <v>1</v>
      </c>
      <c r="F5" s="8" cm="1">
        <f t="array" ref="F5">SUMPRODUCT(('Overview of indicators and DLS'!$C$4:$C$66=$B5)*(Experiments!F$2:F$64=1))</f>
        <v>1</v>
      </c>
      <c r="G5" s="8" cm="1">
        <f t="array" ref="G5">SUMPRODUCT(('Overview of indicators and DLS'!$C$4:$C$66=$B5)*(Experiments!G$2:G$64=1))</f>
        <v>5</v>
      </c>
      <c r="H5" s="11" cm="1">
        <f t="array" ref="H5">SUMPRODUCT(('Overview of indicators and DLS'!$C$4:$C$66=$B5)*(Experiments!H$2:H$64=1))</f>
        <v>2</v>
      </c>
      <c r="I5" s="18" cm="1">
        <f t="array" ref="I5">SUMPRODUCT(('Overview of indicators and DLS'!$C$4:$C$66=$B5)*(Experiments!I$2:I$64=1))</f>
        <v>1</v>
      </c>
      <c r="J5" s="8" cm="1">
        <f t="array" ref="J5">SUMPRODUCT(('Overview of indicators and DLS'!$C$4:$C$66=$B5)*(Experiments!J$2:J$64=1))</f>
        <v>1</v>
      </c>
      <c r="K5" s="8" cm="1">
        <f t="array" ref="K5">SUMPRODUCT(('Overview of indicators and DLS'!$C$4:$C$66=$B5)*(Experiments!K$2:K$64=1))</f>
        <v>1</v>
      </c>
      <c r="L5" s="8" cm="1">
        <f t="array" ref="L5">SUMPRODUCT(('Overview of indicators and DLS'!$C$4:$C$66=$B5)*(Experiments!L$2:L$64=1))</f>
        <v>5</v>
      </c>
      <c r="M5" s="8" cm="1">
        <f t="array" ref="M5">SUMPRODUCT(('Overview of indicators and DLS'!$C$4:$C$66=$B5)*(Experiments!M$2:M$64=1))</f>
        <v>1</v>
      </c>
      <c r="N5" s="8" cm="1">
        <f t="array" ref="N5">SUMPRODUCT(('Overview of indicators and DLS'!$C$4:$C$66=$B5)*(Experiments!N$2:N$64=1))</f>
        <v>0</v>
      </c>
      <c r="O5" s="8" cm="1">
        <f t="array" ref="O5">SUMPRODUCT(('Overview of indicators and DLS'!$C$4:$C$66=$B5)*(Experiments!O$2:O$64=1))</f>
        <v>3</v>
      </c>
      <c r="P5" s="8" cm="1">
        <f t="array" ref="P5">SUMPRODUCT(('Overview of indicators and DLS'!$C$4:$C$66=$B5)*(Experiments!P$2:P$64=1))</f>
        <v>3</v>
      </c>
      <c r="Q5" s="8" cm="1">
        <f t="array" ref="Q5">SUMPRODUCT(('Overview of indicators and DLS'!$C$4:$C$66=$B5)*(Experiments!Q$2:Q$64=1))</f>
        <v>3</v>
      </c>
      <c r="R5" s="8" cm="1">
        <f t="array" ref="R5">SUMPRODUCT(('Overview of indicators and DLS'!$C$4:$C$66=$B5)*(Experiments!R$2:R$64=1))</f>
        <v>5</v>
      </c>
      <c r="S5" s="8" cm="1">
        <f t="array" ref="S5">SUMPRODUCT(('Overview of indicators and DLS'!$C$4:$C$66=$B5)*(Experiments!S$2:S$64=1))</f>
        <v>5</v>
      </c>
    </row>
    <row r="6" spans="1:24" ht="14.45" customHeight="1" x14ac:dyDescent="0.25">
      <c r="B6" s="11" t="str">
        <v>Health Care</v>
      </c>
      <c r="C6" s="18" cm="1">
        <f t="array" ref="C6">SUMPRODUCT(('Overview of indicators and DLS'!$C$4:$C$66=$B6)*(Experiments!C$2:C$64=1))</f>
        <v>7</v>
      </c>
      <c r="D6" s="8" cm="1">
        <f t="array" ref="D6">SUMPRODUCT(('Overview of indicators and DLS'!$C$4:$C$66=$B6)*(Experiments!D$2:D$64=1))</f>
        <v>10</v>
      </c>
      <c r="E6" s="8" cm="1">
        <f t="array" ref="E6">SUMPRODUCT(('Overview of indicators and DLS'!$C$4:$C$66=$B6)*(Experiments!E$2:E$64=1))</f>
        <v>1</v>
      </c>
      <c r="F6" s="8" cm="1">
        <f t="array" ref="F6">SUMPRODUCT(('Overview of indicators and DLS'!$C$4:$C$66=$B6)*(Experiments!F$2:F$64=1))</f>
        <v>1</v>
      </c>
      <c r="G6" s="8" cm="1">
        <f t="array" ref="G6">SUMPRODUCT(('Overview of indicators and DLS'!$C$4:$C$66=$B6)*(Experiments!G$2:G$64=1))</f>
        <v>10</v>
      </c>
      <c r="H6" s="11" cm="1">
        <f t="array" ref="H6">SUMPRODUCT(('Overview of indicators and DLS'!$C$4:$C$66=$B6)*(Experiments!H$2:H$64=1))</f>
        <v>1</v>
      </c>
      <c r="I6" s="18" cm="1">
        <f t="array" ref="I6">SUMPRODUCT(('Overview of indicators and DLS'!$C$4:$C$66=$B6)*(Experiments!I$2:I$64=1))</f>
        <v>1</v>
      </c>
      <c r="J6" s="8" cm="1">
        <f t="array" ref="J6">SUMPRODUCT(('Overview of indicators and DLS'!$C$4:$C$66=$B6)*(Experiments!J$2:J$64=1))</f>
        <v>1</v>
      </c>
      <c r="K6" s="8" cm="1">
        <f t="array" ref="K6">SUMPRODUCT(('Overview of indicators and DLS'!$C$4:$C$66=$B6)*(Experiments!K$2:K$64=1))</f>
        <v>1</v>
      </c>
      <c r="L6" s="8" cm="1">
        <f t="array" ref="L6">SUMPRODUCT(('Overview of indicators and DLS'!$C$4:$C$66=$B6)*(Experiments!L$2:L$64=1))</f>
        <v>10</v>
      </c>
      <c r="M6" s="8" cm="1">
        <f t="array" ref="M6">SUMPRODUCT(('Overview of indicators and DLS'!$C$4:$C$66=$B6)*(Experiments!M$2:M$64=1))</f>
        <v>1</v>
      </c>
      <c r="N6" s="8" cm="1">
        <f t="array" ref="N6">SUMPRODUCT(('Overview of indicators and DLS'!$C$4:$C$66=$B6)*(Experiments!N$2:N$64=1))</f>
        <v>0</v>
      </c>
      <c r="O6" s="8" cm="1">
        <f t="array" ref="O6">SUMPRODUCT(('Overview of indicators and DLS'!$C$4:$C$66=$B6)*(Experiments!O$2:O$64=1))</f>
        <v>7</v>
      </c>
      <c r="P6" s="8" cm="1">
        <f t="array" ref="P6">SUMPRODUCT(('Overview of indicators and DLS'!$C$4:$C$66=$B6)*(Experiments!P$2:P$64=1))</f>
        <v>7</v>
      </c>
      <c r="Q6" s="8" cm="1">
        <f t="array" ref="Q6">SUMPRODUCT(('Overview of indicators and DLS'!$C$4:$C$66=$B6)*(Experiments!Q$2:Q$64=1))</f>
        <v>3</v>
      </c>
      <c r="R6" s="8" cm="1">
        <f t="array" ref="R6">SUMPRODUCT(('Overview of indicators and DLS'!$C$4:$C$66=$B6)*(Experiments!R$2:R$64=1))</f>
        <v>10</v>
      </c>
      <c r="S6" s="8" cm="1">
        <f t="array" ref="S6">SUMPRODUCT(('Overview of indicators and DLS'!$C$4:$C$66=$B6)*(Experiments!S$2:S$64=1))</f>
        <v>10</v>
      </c>
    </row>
    <row r="7" spans="1:24" ht="14.45" customHeight="1" x14ac:dyDescent="0.25">
      <c r="B7" s="11" t="str">
        <v>Water</v>
      </c>
      <c r="C7" s="18" cm="1">
        <f t="array" ref="C7">SUMPRODUCT(('Overview of indicators and DLS'!$C$4:$C$66=$B7)*(Experiments!C$2:C$64=1))</f>
        <v>3</v>
      </c>
      <c r="D7" s="8" cm="1">
        <f t="array" ref="D7">SUMPRODUCT(('Overview of indicators and DLS'!$C$4:$C$66=$B7)*(Experiments!D$2:D$64=1))</f>
        <v>4</v>
      </c>
      <c r="E7" s="8" cm="1">
        <f t="array" ref="E7">SUMPRODUCT(('Overview of indicators and DLS'!$C$4:$C$66=$B7)*(Experiments!E$2:E$64=1))</f>
        <v>2</v>
      </c>
      <c r="F7" s="8" cm="1">
        <f t="array" ref="F7">SUMPRODUCT(('Overview of indicators and DLS'!$C$4:$C$66=$B7)*(Experiments!F$2:F$64=1))</f>
        <v>2</v>
      </c>
      <c r="G7" s="8" cm="1">
        <f t="array" ref="G7">SUMPRODUCT(('Overview of indicators and DLS'!$C$4:$C$66=$B7)*(Experiments!G$2:G$64=1))</f>
        <v>4</v>
      </c>
      <c r="H7" s="11" cm="1">
        <f t="array" ref="H7">SUMPRODUCT(('Overview of indicators and DLS'!$C$4:$C$66=$B7)*(Experiments!H$2:H$64=1))</f>
        <v>1</v>
      </c>
      <c r="I7" s="18" cm="1">
        <f t="array" ref="I7">SUMPRODUCT(('Overview of indicators and DLS'!$C$4:$C$66=$B7)*(Experiments!I$2:I$64=1))</f>
        <v>2</v>
      </c>
      <c r="J7" s="8" cm="1">
        <f t="array" ref="J7">SUMPRODUCT(('Overview of indicators and DLS'!$C$4:$C$66=$B7)*(Experiments!J$2:J$64=1))</f>
        <v>2</v>
      </c>
      <c r="K7" s="8" cm="1">
        <f t="array" ref="K7">SUMPRODUCT(('Overview of indicators and DLS'!$C$4:$C$66=$B7)*(Experiments!K$2:K$64=1))</f>
        <v>2</v>
      </c>
      <c r="L7" s="8" cm="1">
        <f t="array" ref="L7">SUMPRODUCT(('Overview of indicators and DLS'!$C$4:$C$66=$B7)*(Experiments!L$2:L$64=1))</f>
        <v>4</v>
      </c>
      <c r="M7" s="8" cm="1">
        <f t="array" ref="M7">SUMPRODUCT(('Overview of indicators and DLS'!$C$4:$C$66=$B7)*(Experiments!M$2:M$64=1))</f>
        <v>2</v>
      </c>
      <c r="N7" s="8" cm="1">
        <f t="array" ref="N7">SUMPRODUCT(('Overview of indicators and DLS'!$C$4:$C$66=$B7)*(Experiments!N$2:N$64=1))</f>
        <v>0</v>
      </c>
      <c r="O7" s="8" cm="1">
        <f t="array" ref="O7">SUMPRODUCT(('Overview of indicators and DLS'!$C$4:$C$66=$B7)*(Experiments!O$2:O$64=1))</f>
        <v>3</v>
      </c>
      <c r="P7" s="8" cm="1">
        <f t="array" ref="P7">SUMPRODUCT(('Overview of indicators and DLS'!$C$4:$C$66=$B7)*(Experiments!P$2:P$64=1))</f>
        <v>3</v>
      </c>
      <c r="Q7" s="8" cm="1">
        <f t="array" ref="Q7">SUMPRODUCT(('Overview of indicators and DLS'!$C$4:$C$66=$B7)*(Experiments!Q$2:Q$64=1))</f>
        <v>3</v>
      </c>
      <c r="R7" s="8" cm="1">
        <f t="array" ref="R7">SUMPRODUCT(('Overview of indicators and DLS'!$C$4:$C$66=$B7)*(Experiments!R$2:R$64=1))</f>
        <v>4</v>
      </c>
      <c r="S7" s="8" cm="1">
        <f t="array" ref="S7">SUMPRODUCT(('Overview of indicators and DLS'!$C$4:$C$66=$B7)*(Experiments!S$2:S$64=1))</f>
        <v>4</v>
      </c>
    </row>
    <row r="8" spans="1:24" ht="14.45" customHeight="1" x14ac:dyDescent="0.25">
      <c r="B8" s="11" t="str">
        <v>Sanitation</v>
      </c>
      <c r="C8" s="18" cm="1">
        <f t="array" ref="C8">SUMPRODUCT(('Overview of indicators and DLS'!$C$4:$C$66=$B8)*(Experiments!C$2:C$64=1))</f>
        <v>1</v>
      </c>
      <c r="D8" s="8" cm="1">
        <f t="array" ref="D8">SUMPRODUCT(('Overview of indicators and DLS'!$C$4:$C$66=$B8)*(Experiments!D$2:D$64=1))</f>
        <v>2</v>
      </c>
      <c r="E8" s="8" cm="1">
        <f t="array" ref="E8">SUMPRODUCT(('Overview of indicators and DLS'!$C$4:$C$66=$B8)*(Experiments!E$2:E$64=1))</f>
        <v>1</v>
      </c>
      <c r="F8" s="8" cm="1">
        <f t="array" ref="F8">SUMPRODUCT(('Overview of indicators and DLS'!$C$4:$C$66=$B8)*(Experiments!F$2:F$64=1))</f>
        <v>1</v>
      </c>
      <c r="G8" s="8" cm="1">
        <f t="array" ref="G8">SUMPRODUCT(('Overview of indicators and DLS'!$C$4:$C$66=$B8)*(Experiments!G$2:G$64=1))</f>
        <v>2</v>
      </c>
      <c r="H8" s="11" cm="1">
        <f t="array" ref="H8">SUMPRODUCT(('Overview of indicators and DLS'!$C$4:$C$66=$B8)*(Experiments!H$2:H$64=1))</f>
        <v>1</v>
      </c>
      <c r="I8" s="18" cm="1">
        <f t="array" ref="I8">SUMPRODUCT(('Overview of indicators and DLS'!$C$4:$C$66=$B8)*(Experiments!I$2:I$64=1))</f>
        <v>1</v>
      </c>
      <c r="J8" s="8" cm="1">
        <f t="array" ref="J8">SUMPRODUCT(('Overview of indicators and DLS'!$C$4:$C$66=$B8)*(Experiments!J$2:J$64=1))</f>
        <v>1</v>
      </c>
      <c r="K8" s="8" cm="1">
        <f t="array" ref="K8">SUMPRODUCT(('Overview of indicators and DLS'!$C$4:$C$66=$B8)*(Experiments!K$2:K$64=1))</f>
        <v>1</v>
      </c>
      <c r="L8" s="8" cm="1">
        <f t="array" ref="L8">SUMPRODUCT(('Overview of indicators and DLS'!$C$4:$C$66=$B8)*(Experiments!L$2:L$64=1))</f>
        <v>2</v>
      </c>
      <c r="M8" s="8" cm="1">
        <f t="array" ref="M8">SUMPRODUCT(('Overview of indicators and DLS'!$C$4:$C$66=$B8)*(Experiments!M$2:M$64=1))</f>
        <v>1</v>
      </c>
      <c r="N8" s="8" cm="1">
        <f t="array" ref="N8">SUMPRODUCT(('Overview of indicators and DLS'!$C$4:$C$66=$B8)*(Experiments!N$2:N$64=1))</f>
        <v>0</v>
      </c>
      <c r="O8" s="8" cm="1">
        <f t="array" ref="O8">SUMPRODUCT(('Overview of indicators and DLS'!$C$4:$C$66=$B8)*(Experiments!O$2:O$64=1))</f>
        <v>1</v>
      </c>
      <c r="P8" s="8" cm="1">
        <f t="array" ref="P8">SUMPRODUCT(('Overview of indicators and DLS'!$C$4:$C$66=$B8)*(Experiments!P$2:P$64=1))</f>
        <v>1</v>
      </c>
      <c r="Q8" s="8" cm="1">
        <f t="array" ref="Q8">SUMPRODUCT(('Overview of indicators and DLS'!$C$4:$C$66=$B8)*(Experiments!Q$2:Q$64=1))</f>
        <v>1</v>
      </c>
      <c r="R8" s="8" cm="1">
        <f t="array" ref="R8">SUMPRODUCT(('Overview of indicators and DLS'!$C$4:$C$66=$B8)*(Experiments!R$2:R$64=1))</f>
        <v>2</v>
      </c>
      <c r="S8" s="8" cm="1">
        <f t="array" ref="S8">SUMPRODUCT(('Overview of indicators and DLS'!$C$4:$C$66=$B8)*(Experiments!S$2:S$64=1))</f>
        <v>2</v>
      </c>
    </row>
    <row r="9" spans="1:24" ht="14.45" customHeight="1" x14ac:dyDescent="0.25">
      <c r="B9" s="11" t="str">
        <v>Food preparation</v>
      </c>
      <c r="C9" s="18" cm="1">
        <f t="array" ref="C9">SUMPRODUCT(('Overview of indicators and DLS'!$C$4:$C$66=$B9)*(Experiments!C$2:C$64=1))</f>
        <v>2</v>
      </c>
      <c r="D9" s="8" cm="1">
        <f t="array" ref="D9">SUMPRODUCT(('Overview of indicators and DLS'!$C$4:$C$66=$B9)*(Experiments!D$2:D$64=1))</f>
        <v>2</v>
      </c>
      <c r="E9" s="8" cm="1">
        <f t="array" ref="E9">SUMPRODUCT(('Overview of indicators and DLS'!$C$4:$C$66=$B9)*(Experiments!E$2:E$64=1))</f>
        <v>1</v>
      </c>
      <c r="F9" s="8" cm="1">
        <f t="array" ref="F9">SUMPRODUCT(('Overview of indicators and DLS'!$C$4:$C$66=$B9)*(Experiments!F$2:F$64=1))</f>
        <v>1</v>
      </c>
      <c r="G9" s="8" cm="1">
        <f t="array" ref="G9">SUMPRODUCT(('Overview of indicators and DLS'!$C$4:$C$66=$B9)*(Experiments!G$2:G$64=1))</f>
        <v>2</v>
      </c>
      <c r="H9" s="11" cm="1">
        <f t="array" ref="H9">SUMPRODUCT(('Overview of indicators and DLS'!$C$4:$C$66=$B9)*(Experiments!H$2:H$64=1))</f>
        <v>1</v>
      </c>
      <c r="I9" s="18" cm="1">
        <f t="array" ref="I9">SUMPRODUCT(('Overview of indicators and DLS'!$C$4:$C$66=$B9)*(Experiments!I$2:I$64=1))</f>
        <v>1</v>
      </c>
      <c r="J9" s="8" cm="1">
        <f t="array" ref="J9">SUMPRODUCT(('Overview of indicators and DLS'!$C$4:$C$66=$B9)*(Experiments!J$2:J$64=1))</f>
        <v>1</v>
      </c>
      <c r="K9" s="8" cm="1">
        <f t="array" ref="K9">SUMPRODUCT(('Overview of indicators and DLS'!$C$4:$C$66=$B9)*(Experiments!K$2:K$64=1))</f>
        <v>1</v>
      </c>
      <c r="L9" s="8" cm="1">
        <f t="array" ref="L9">SUMPRODUCT(('Overview of indicators and DLS'!$C$4:$C$66=$B9)*(Experiments!L$2:L$64=1))</f>
        <v>2</v>
      </c>
      <c r="M9" s="8" cm="1">
        <f t="array" ref="M9">SUMPRODUCT(('Overview of indicators and DLS'!$C$4:$C$66=$B9)*(Experiments!M$2:M$64=1))</f>
        <v>1</v>
      </c>
      <c r="N9" s="8" cm="1">
        <f t="array" ref="N9">SUMPRODUCT(('Overview of indicators and DLS'!$C$4:$C$66=$B9)*(Experiments!N$2:N$64=1))</f>
        <v>0</v>
      </c>
      <c r="O9" s="8" cm="1">
        <f t="array" ref="O9">SUMPRODUCT(('Overview of indicators and DLS'!$C$4:$C$66=$B9)*(Experiments!O$2:O$64=1))</f>
        <v>2</v>
      </c>
      <c r="P9" s="8" cm="1">
        <f t="array" ref="P9">SUMPRODUCT(('Overview of indicators and DLS'!$C$4:$C$66=$B9)*(Experiments!P$2:P$64=1))</f>
        <v>2</v>
      </c>
      <c r="Q9" s="8" cm="1">
        <f t="array" ref="Q9">SUMPRODUCT(('Overview of indicators and DLS'!$C$4:$C$66=$B9)*(Experiments!Q$2:Q$64=1))</f>
        <v>0</v>
      </c>
      <c r="R9" s="8" cm="1">
        <f t="array" ref="R9">SUMPRODUCT(('Overview of indicators and DLS'!$C$4:$C$66=$B9)*(Experiments!R$2:R$64=1))</f>
        <v>2</v>
      </c>
      <c r="S9" s="8" cm="1">
        <f t="array" ref="S9">SUMPRODUCT(('Overview of indicators and DLS'!$C$4:$C$66=$B9)*(Experiments!S$2:S$64=1))</f>
        <v>2</v>
      </c>
    </row>
    <row r="10" spans="1:24" x14ac:dyDescent="0.25">
      <c r="B10" s="11" t="str">
        <v>Thermal comfort</v>
      </c>
      <c r="C10" s="18" cm="1">
        <f t="array" ref="C10">SUMPRODUCT(('Overview of indicators and DLS'!$C$4:$C$66=$B10)*(Experiments!C$2:C$64=1))</f>
        <v>1</v>
      </c>
      <c r="D10" s="8" cm="1">
        <f t="array" ref="D10">SUMPRODUCT(('Overview of indicators and DLS'!$C$4:$C$66=$B10)*(Experiments!D$2:D$64=1))</f>
        <v>1</v>
      </c>
      <c r="E10" s="8" cm="1">
        <f t="array" ref="E10">SUMPRODUCT(('Overview of indicators and DLS'!$C$4:$C$66=$B10)*(Experiments!E$2:E$64=1))</f>
        <v>1</v>
      </c>
      <c r="F10" s="8" cm="1">
        <f t="array" ref="F10">SUMPRODUCT(('Overview of indicators and DLS'!$C$4:$C$66=$B10)*(Experiments!F$2:F$64=1))</f>
        <v>1</v>
      </c>
      <c r="G10" s="8" cm="1">
        <f t="array" ref="G10">SUMPRODUCT(('Overview of indicators and DLS'!$C$4:$C$66=$B10)*(Experiments!G$2:G$64=1))</f>
        <v>1</v>
      </c>
      <c r="H10" s="11" cm="1">
        <f t="array" ref="H10">SUMPRODUCT(('Overview of indicators and DLS'!$C$4:$C$66=$B10)*(Experiments!H$2:H$64=1))</f>
        <v>1</v>
      </c>
      <c r="I10" s="18" cm="1">
        <f t="array" ref="I10">SUMPRODUCT(('Overview of indicators and DLS'!$C$4:$C$66=$B10)*(Experiments!I$2:I$64=1))</f>
        <v>1</v>
      </c>
      <c r="J10" s="8" cm="1">
        <f t="array" ref="J10">SUMPRODUCT(('Overview of indicators and DLS'!$C$4:$C$66=$B10)*(Experiments!J$2:J$64=1))</f>
        <v>1</v>
      </c>
      <c r="K10" s="8" cm="1">
        <f t="array" ref="K10">SUMPRODUCT(('Overview of indicators and DLS'!$C$4:$C$66=$B10)*(Experiments!K$2:K$64=1))</f>
        <v>1</v>
      </c>
      <c r="L10" s="8" cm="1">
        <f t="array" ref="L10">SUMPRODUCT(('Overview of indicators and DLS'!$C$4:$C$66=$B10)*(Experiments!L$2:L$64=1))</f>
        <v>1</v>
      </c>
      <c r="M10" s="8" cm="1">
        <f t="array" ref="M10">SUMPRODUCT(('Overview of indicators and DLS'!$C$4:$C$66=$B10)*(Experiments!M$2:M$64=1))</f>
        <v>1</v>
      </c>
      <c r="N10" s="8" cm="1">
        <f t="array" ref="N10">SUMPRODUCT(('Overview of indicators and DLS'!$C$4:$C$66=$B10)*(Experiments!N$2:N$64=1))</f>
        <v>0</v>
      </c>
      <c r="O10" s="8" cm="1">
        <f t="array" ref="O10">SUMPRODUCT(('Overview of indicators and DLS'!$C$4:$C$66=$B10)*(Experiments!O$2:O$64=1))</f>
        <v>1</v>
      </c>
      <c r="P10" s="8" cm="1">
        <f t="array" ref="P10">SUMPRODUCT(('Overview of indicators and DLS'!$C$4:$C$66=$B10)*(Experiments!P$2:P$64=1))</f>
        <v>1</v>
      </c>
      <c r="Q10" s="8" cm="1">
        <f t="array" ref="Q10">SUMPRODUCT(('Overview of indicators and DLS'!$C$4:$C$66=$B10)*(Experiments!Q$2:Q$64=1))</f>
        <v>0</v>
      </c>
      <c r="R10" s="8" cm="1">
        <f t="array" ref="R10">SUMPRODUCT(('Overview of indicators and DLS'!$C$4:$C$66=$B10)*(Experiments!R$2:R$64=1))</f>
        <v>1</v>
      </c>
      <c r="S10" s="8" cm="1">
        <f t="array" ref="S10">SUMPRODUCT(('Overview of indicators and DLS'!$C$4:$C$66=$B10)*(Experiments!S$2:S$64=1))</f>
        <v>1</v>
      </c>
    </row>
    <row r="11" spans="1:24" x14ac:dyDescent="0.25">
      <c r="B11" s="11" t="str">
        <v>Non material / Non-DLS</v>
      </c>
      <c r="C11" s="18" cm="1">
        <f t="array" ref="C11">SUMPRODUCT(('Overview of indicators and DLS'!$C$4:$C$66=$B11)*(Experiments!C$2:C$64=1))</f>
        <v>9</v>
      </c>
      <c r="D11" s="8" cm="1">
        <f t="array" ref="D11">SUMPRODUCT(('Overview of indicators and DLS'!$C$4:$C$66=$B11)*(Experiments!D$2:D$64=1))</f>
        <v>10</v>
      </c>
      <c r="E11" s="8" cm="1">
        <f t="array" ref="E11">SUMPRODUCT(('Overview of indicators and DLS'!$C$4:$C$66=$B11)*(Experiments!E$2:E$64=1))</f>
        <v>0</v>
      </c>
      <c r="F11" s="8" cm="1">
        <f t="array" ref="F11">SUMPRODUCT(('Overview of indicators and DLS'!$C$4:$C$66=$B11)*(Experiments!F$2:F$64=1))</f>
        <v>0</v>
      </c>
      <c r="G11" s="8" cm="1">
        <f t="array" ref="G11">SUMPRODUCT(('Overview of indicators and DLS'!$C$4:$C$66=$B11)*(Experiments!G$2:G$64=1))</f>
        <v>0</v>
      </c>
      <c r="H11" s="11" cm="1">
        <f t="array" ref="H11">SUMPRODUCT(('Overview of indicators and DLS'!$C$4:$C$66=$B11)*(Experiments!H$2:H$64=1))</f>
        <v>2</v>
      </c>
      <c r="I11" s="18" cm="1">
        <f t="array" ref="I11">SUMPRODUCT(('Overview of indicators and DLS'!$C$4:$C$66=$B11)*(Experiments!I$2:I$64=1))</f>
        <v>0</v>
      </c>
      <c r="J11" s="8" cm="1">
        <f t="array" ref="J11">SUMPRODUCT(('Overview of indicators and DLS'!$C$4:$C$66=$B11)*(Experiments!J$2:J$64=1))</f>
        <v>0</v>
      </c>
      <c r="K11" s="8" cm="1">
        <f t="array" ref="K11">SUMPRODUCT(('Overview of indicators and DLS'!$C$4:$C$66=$B11)*(Experiments!K$2:K$64=1))</f>
        <v>0</v>
      </c>
      <c r="L11" s="8" cm="1">
        <f t="array" ref="L11">SUMPRODUCT(('Overview of indicators and DLS'!$C$4:$C$66=$B11)*(Experiments!L$2:L$64=1))</f>
        <v>0</v>
      </c>
      <c r="M11" s="8" cm="1">
        <f t="array" ref="M11">SUMPRODUCT(('Overview of indicators and DLS'!$C$4:$C$66=$B11)*(Experiments!M$2:M$64=1))</f>
        <v>0</v>
      </c>
      <c r="N11" s="8" cm="1">
        <f t="array" ref="N11">SUMPRODUCT(('Overview of indicators and DLS'!$C$4:$C$66=$B11)*(Experiments!N$2:N$64=1))</f>
        <v>15</v>
      </c>
      <c r="O11" s="8" cm="1">
        <f t="array" ref="O11">SUMPRODUCT(('Overview of indicators and DLS'!$C$4:$C$66=$B11)*(Experiments!O$2:O$64=1))</f>
        <v>24</v>
      </c>
      <c r="P11" s="8" cm="1">
        <f t="array" ref="P11">SUMPRODUCT(('Overview of indicators and DLS'!$C$4:$C$66=$B11)*(Experiments!P$2:P$64=1))</f>
        <v>0</v>
      </c>
      <c r="Q11" s="8" cm="1">
        <f t="array" ref="Q11">SUMPRODUCT(('Overview of indicators and DLS'!$C$4:$C$66=$B11)*(Experiments!Q$2:Q$64=1))</f>
        <v>0</v>
      </c>
      <c r="R11" s="8" cm="1">
        <f t="array" ref="R11">SUMPRODUCT(('Overview of indicators and DLS'!$C$4:$C$66=$B11)*(Experiments!R$2:R$64=1))</f>
        <v>0</v>
      </c>
      <c r="S11" s="8" cm="1">
        <f t="array" ref="S11">SUMPRODUCT(('Overview of indicators and DLS'!$C$4:$C$66=$B11)*(Experiments!S$2:S$64=1))</f>
        <v>25</v>
      </c>
    </row>
    <row r="12" spans="1:24" x14ac:dyDescent="0.25">
      <c r="B12" s="11" t="str">
        <v>Education</v>
      </c>
      <c r="C12" s="18" cm="1">
        <f t="array" ref="C12">SUMPRODUCT(('Overview of indicators and DLS'!$C$4:$C$66=$B12)*(Experiments!C$2:C$64=1))</f>
        <v>4</v>
      </c>
      <c r="D12" s="8" cm="1">
        <f t="array" ref="D12">SUMPRODUCT(('Overview of indicators and DLS'!$C$4:$C$66=$B12)*(Experiments!D$2:D$64=1))</f>
        <v>5</v>
      </c>
      <c r="E12" s="8" cm="1">
        <f t="array" ref="E12">SUMPRODUCT(('Overview of indicators and DLS'!$C$4:$C$66=$B12)*(Experiments!E$2:E$64=1))</f>
        <v>1</v>
      </c>
      <c r="F12" s="8" cm="1">
        <f t="array" ref="F12">SUMPRODUCT(('Overview of indicators and DLS'!$C$4:$C$66=$B12)*(Experiments!F$2:F$64=1))</f>
        <v>1</v>
      </c>
      <c r="G12" s="8" cm="1">
        <f t="array" ref="G12">SUMPRODUCT(('Overview of indicators and DLS'!$C$4:$C$66=$B12)*(Experiments!G$2:G$64=1))</f>
        <v>9</v>
      </c>
      <c r="H12" s="11" cm="1">
        <f t="array" ref="H12">SUMPRODUCT(('Overview of indicators and DLS'!$C$4:$C$66=$B12)*(Experiments!H$2:H$64=1))</f>
        <v>3</v>
      </c>
      <c r="I12" s="18" cm="1">
        <f t="array" ref="I12">SUMPRODUCT(('Overview of indicators and DLS'!$C$4:$C$66=$B12)*(Experiments!I$2:I$64=1))</f>
        <v>1</v>
      </c>
      <c r="J12" s="8" cm="1">
        <f t="array" ref="J12">SUMPRODUCT(('Overview of indicators and DLS'!$C$4:$C$66=$B12)*(Experiments!J$2:J$64=1))</f>
        <v>1</v>
      </c>
      <c r="K12" s="8" cm="1">
        <f t="array" ref="K12">SUMPRODUCT(('Overview of indicators and DLS'!$C$4:$C$66=$B12)*(Experiments!K$2:K$64=1))</f>
        <v>1</v>
      </c>
      <c r="L12" s="8" cm="1">
        <f t="array" ref="L12">SUMPRODUCT(('Overview of indicators and DLS'!$C$4:$C$66=$B12)*(Experiments!L$2:L$64=1))</f>
        <v>9</v>
      </c>
      <c r="M12" s="8" cm="1">
        <f t="array" ref="M12">SUMPRODUCT(('Overview of indicators and DLS'!$C$4:$C$66=$B12)*(Experiments!M$2:M$64=1))</f>
        <v>1</v>
      </c>
      <c r="N12" s="8" cm="1">
        <f t="array" ref="N12">SUMPRODUCT(('Overview of indicators and DLS'!$C$4:$C$66=$B12)*(Experiments!N$2:N$64=1))</f>
        <v>4</v>
      </c>
      <c r="O12" s="8" cm="1">
        <f t="array" ref="O12">SUMPRODUCT(('Overview of indicators and DLS'!$C$4:$C$66=$B12)*(Experiments!O$2:O$64=1))</f>
        <v>8</v>
      </c>
      <c r="P12" s="8" cm="1">
        <f t="array" ref="P12">SUMPRODUCT(('Overview of indicators and DLS'!$C$4:$C$66=$B12)*(Experiments!P$2:P$64=1))</f>
        <v>8</v>
      </c>
      <c r="Q12" s="8" cm="1">
        <f t="array" ref="Q12">SUMPRODUCT(('Overview of indicators and DLS'!$C$4:$C$66=$B12)*(Experiments!Q$2:Q$64=1))</f>
        <v>0</v>
      </c>
      <c r="R12" s="8" cm="1">
        <f t="array" ref="R12">SUMPRODUCT(('Overview of indicators and DLS'!$C$4:$C$66=$B12)*(Experiments!R$2:R$64=1))</f>
        <v>5</v>
      </c>
      <c r="S12" s="8" cm="1">
        <f t="array" ref="S12">SUMPRODUCT(('Overview of indicators and DLS'!$C$4:$C$66=$B12)*(Experiments!S$2:S$64=1))</f>
        <v>9</v>
      </c>
    </row>
    <row r="13" spans="1:24" x14ac:dyDescent="0.25">
      <c r="B13" s="11" t="str">
        <v>Social connectedness</v>
      </c>
      <c r="C13" s="18" cm="1">
        <f t="array" ref="C13">SUMPRODUCT(('Overview of indicators and DLS'!$C$4:$C$66=$B13)*(Experiments!C$2:C$64=1))</f>
        <v>3</v>
      </c>
      <c r="D13" s="8" cm="1">
        <f t="array" ref="D13">SUMPRODUCT(('Overview of indicators and DLS'!$C$4:$C$66=$B13)*(Experiments!D$2:D$64=1))</f>
        <v>3</v>
      </c>
      <c r="E13" s="8" cm="1">
        <f t="array" ref="E13">SUMPRODUCT(('Overview of indicators and DLS'!$C$4:$C$66=$B13)*(Experiments!E$2:E$64=1))</f>
        <v>2</v>
      </c>
      <c r="F13" s="8" cm="1">
        <f t="array" ref="F13">SUMPRODUCT(('Overview of indicators and DLS'!$C$4:$C$66=$B13)*(Experiments!F$2:F$64=1))</f>
        <v>2</v>
      </c>
      <c r="G13" s="8" cm="1">
        <f t="array" ref="G13">SUMPRODUCT(('Overview of indicators and DLS'!$C$4:$C$66=$B13)*(Experiments!G$2:G$64=1))</f>
        <v>3</v>
      </c>
      <c r="H13" s="11" cm="1">
        <f t="array" ref="H13">SUMPRODUCT(('Overview of indicators and DLS'!$C$4:$C$66=$B13)*(Experiments!H$2:H$64=1))</f>
        <v>2</v>
      </c>
      <c r="I13" s="18" cm="1">
        <f t="array" ref="I13">SUMPRODUCT(('Overview of indicators and DLS'!$C$4:$C$66=$B13)*(Experiments!I$2:I$64=1))</f>
        <v>2</v>
      </c>
      <c r="J13" s="8" cm="1">
        <f t="array" ref="J13">SUMPRODUCT(('Overview of indicators and DLS'!$C$4:$C$66=$B13)*(Experiments!J$2:J$64=1))</f>
        <v>2</v>
      </c>
      <c r="K13" s="8" cm="1">
        <f t="array" ref="K13">SUMPRODUCT(('Overview of indicators and DLS'!$C$4:$C$66=$B13)*(Experiments!K$2:K$64=1))</f>
        <v>2</v>
      </c>
      <c r="L13" s="8" cm="1">
        <f t="array" ref="L13">SUMPRODUCT(('Overview of indicators and DLS'!$C$4:$C$66=$B13)*(Experiments!L$2:L$64=1))</f>
        <v>3</v>
      </c>
      <c r="M13" s="8" cm="1">
        <f t="array" ref="M13">SUMPRODUCT(('Overview of indicators and DLS'!$C$4:$C$66=$B13)*(Experiments!M$2:M$64=1))</f>
        <v>2</v>
      </c>
      <c r="N13" s="8" cm="1">
        <f t="array" ref="N13">SUMPRODUCT(('Overview of indicators and DLS'!$C$4:$C$66=$B13)*(Experiments!N$2:N$64=1))</f>
        <v>0</v>
      </c>
      <c r="O13" s="8" cm="1">
        <f t="array" ref="O13">SUMPRODUCT(('Overview of indicators and DLS'!$C$4:$C$66=$B13)*(Experiments!O$2:O$64=1))</f>
        <v>3</v>
      </c>
      <c r="P13" s="8" cm="1">
        <f t="array" ref="P13">SUMPRODUCT(('Overview of indicators and DLS'!$C$4:$C$66=$B13)*(Experiments!P$2:P$64=1))</f>
        <v>3</v>
      </c>
      <c r="Q13" s="8" cm="1">
        <f t="array" ref="Q13">SUMPRODUCT(('Overview of indicators and DLS'!$C$4:$C$66=$B13)*(Experiments!Q$2:Q$64=1))</f>
        <v>0</v>
      </c>
      <c r="R13" s="8" cm="1">
        <f t="array" ref="R13">SUMPRODUCT(('Overview of indicators and DLS'!$C$4:$C$66=$B13)*(Experiments!R$2:R$64=1))</f>
        <v>3</v>
      </c>
      <c r="S13" s="8" cm="1">
        <f t="array" ref="S13">SUMPRODUCT(('Overview of indicators and DLS'!$C$4:$C$66=$B13)*(Experiments!S$2:S$64=1))</f>
        <v>3</v>
      </c>
    </row>
    <row r="14" spans="1:24" x14ac:dyDescent="0.25">
      <c r="B14" s="11" t="str">
        <v>Housing</v>
      </c>
      <c r="C14" s="18" cm="1">
        <f t="array" ref="C14">SUMPRODUCT(('Overview of indicators and DLS'!$C$4:$C$66=$B14)*(Experiments!C$2:C$64=1))</f>
        <v>0</v>
      </c>
      <c r="D14" s="8" cm="1">
        <f t="array" ref="D14">SUMPRODUCT(('Overview of indicators and DLS'!$C$4:$C$66=$B14)*(Experiments!D$2:D$64=1))</f>
        <v>1</v>
      </c>
      <c r="E14" s="8" cm="1">
        <f t="array" ref="E14">SUMPRODUCT(('Overview of indicators and DLS'!$C$4:$C$66=$B14)*(Experiments!E$2:E$64=1))</f>
        <v>1</v>
      </c>
      <c r="F14" s="8" cm="1">
        <f t="array" ref="F14">SUMPRODUCT(('Overview of indicators and DLS'!$C$4:$C$66=$B14)*(Experiments!F$2:F$64=1))</f>
        <v>1</v>
      </c>
      <c r="G14" s="8" cm="1">
        <f t="array" ref="G14">SUMPRODUCT(('Overview of indicators and DLS'!$C$4:$C$66=$B14)*(Experiments!G$2:G$64=1))</f>
        <v>1</v>
      </c>
      <c r="H14" s="11" cm="1">
        <f t="array" ref="H14">SUMPRODUCT(('Overview of indicators and DLS'!$C$4:$C$66=$B14)*(Experiments!H$2:H$64=1))</f>
        <v>1</v>
      </c>
      <c r="I14" s="18" cm="1">
        <f t="array" ref="I14">SUMPRODUCT(('Overview of indicators and DLS'!$C$4:$C$66=$B14)*(Experiments!I$2:I$64=1))</f>
        <v>1</v>
      </c>
      <c r="J14" s="8" cm="1">
        <f t="array" ref="J14">SUMPRODUCT(('Overview of indicators and DLS'!$C$4:$C$66=$B14)*(Experiments!J$2:J$64=1))</f>
        <v>1</v>
      </c>
      <c r="K14" s="8" cm="1">
        <f t="array" ref="K14">SUMPRODUCT(('Overview of indicators and DLS'!$C$4:$C$66=$B14)*(Experiments!K$2:K$64=1))</f>
        <v>1</v>
      </c>
      <c r="L14" s="8" cm="1">
        <f t="array" ref="L14">SUMPRODUCT(('Overview of indicators and DLS'!$C$4:$C$66=$B14)*(Experiments!L$2:L$64=1))</f>
        <v>1</v>
      </c>
      <c r="M14" s="8" cm="1">
        <f t="array" ref="M14">SUMPRODUCT(('Overview of indicators and DLS'!$C$4:$C$66=$B14)*(Experiments!M$2:M$64=1))</f>
        <v>1</v>
      </c>
      <c r="N14" s="8" cm="1">
        <f t="array" ref="N14">SUMPRODUCT(('Overview of indicators and DLS'!$C$4:$C$66=$B14)*(Experiments!N$2:N$64=1))</f>
        <v>0</v>
      </c>
      <c r="O14" s="8" cm="1">
        <f t="array" ref="O14">SUMPRODUCT(('Overview of indicators and DLS'!$C$4:$C$66=$B14)*(Experiments!O$2:O$64=1))</f>
        <v>0</v>
      </c>
      <c r="P14" s="8" cm="1">
        <f t="array" ref="P14">SUMPRODUCT(('Overview of indicators and DLS'!$C$4:$C$66=$B14)*(Experiments!P$2:P$64=1))</f>
        <v>1</v>
      </c>
      <c r="Q14" s="8" cm="1">
        <f t="array" ref="Q14">SUMPRODUCT(('Overview of indicators and DLS'!$C$4:$C$66=$B14)*(Experiments!Q$2:Q$64=1))</f>
        <v>0</v>
      </c>
      <c r="R14" s="8" cm="1">
        <f t="array" ref="R14">SUMPRODUCT(('Overview of indicators and DLS'!$C$4:$C$66=$B14)*(Experiments!R$2:R$64=1))</f>
        <v>1</v>
      </c>
      <c r="S14" s="8" cm="1">
        <f t="array" ref="S14">SUMPRODUCT(('Overview of indicators and DLS'!$C$4:$C$66=$B14)*(Experiments!S$2:S$64=1))</f>
        <v>1</v>
      </c>
    </row>
    <row r="15" spans="1:24" x14ac:dyDescent="0.25">
      <c r="B15" s="13" t="str">
        <v>Physical Connectedness</v>
      </c>
      <c r="C15" s="19" cm="1">
        <f t="array" ref="C15">SUMPRODUCT(('Overview of indicators and DLS'!$C$4:$C$66=$B15)*(Experiments!C$2:C$64=1))</f>
        <v>0</v>
      </c>
      <c r="D15" s="12" cm="1">
        <f t="array" ref="D15">SUMPRODUCT(('Overview of indicators and DLS'!$C$4:$C$66=$B15)*(Experiments!D$2:D$64=1))</f>
        <v>0</v>
      </c>
      <c r="E15" s="12" cm="1">
        <f t="array" ref="E15">SUMPRODUCT(('Overview of indicators and DLS'!$C$4:$C$66=$B15)*(Experiments!E$2:E$64=1))</f>
        <v>0</v>
      </c>
      <c r="F15" s="12" cm="1">
        <f t="array" ref="F15">SUMPRODUCT(('Overview of indicators and DLS'!$C$4:$C$66=$B15)*(Experiments!F$2:F$64=1))</f>
        <v>0</v>
      </c>
      <c r="G15" s="12" cm="1">
        <f t="array" ref="G15">SUMPRODUCT(('Overview of indicators and DLS'!$C$4:$C$66=$B15)*(Experiments!G$2:G$64=1))</f>
        <v>0</v>
      </c>
      <c r="H15" s="13" cm="1">
        <f t="array" ref="H15">SUMPRODUCT(('Overview of indicators and DLS'!$C$4:$C$66=$B15)*(Experiments!H$2:H$64=1))</f>
        <v>0</v>
      </c>
      <c r="I15" s="19" cm="1">
        <f t="array" ref="I15">SUMPRODUCT(('Overview of indicators and DLS'!$C$4:$C$66=$B15)*(Experiments!I$2:I$64=1))</f>
        <v>0</v>
      </c>
      <c r="J15" s="12" cm="1">
        <f t="array" ref="J15">SUMPRODUCT(('Overview of indicators and DLS'!$C$4:$C$66=$B15)*(Experiments!J$2:J$64=1))</f>
        <v>0</v>
      </c>
      <c r="K15" s="12" cm="1">
        <f t="array" ref="K15">SUMPRODUCT(('Overview of indicators and DLS'!$C$4:$C$66=$B15)*(Experiments!K$2:K$64=1))</f>
        <v>0</v>
      </c>
      <c r="L15" s="12" cm="1">
        <f t="array" ref="L15">SUMPRODUCT(('Overview of indicators and DLS'!$C$4:$C$66=$B15)*(Experiments!L$2:L$64=1))</f>
        <v>0</v>
      </c>
      <c r="M15" s="12" cm="1">
        <f t="array" ref="M15">SUMPRODUCT(('Overview of indicators and DLS'!$C$4:$C$66=$B15)*(Experiments!M$2:M$64=1))</f>
        <v>0</v>
      </c>
      <c r="N15" s="12" cm="1">
        <f t="array" ref="N15">SUMPRODUCT(('Overview of indicators and DLS'!$C$4:$C$66=$B15)*(Experiments!N$2:N$64=1))</f>
        <v>0</v>
      </c>
      <c r="O15" s="12" cm="1">
        <f t="array" ref="O15">SUMPRODUCT(('Overview of indicators and DLS'!$C$4:$C$66=$B15)*(Experiments!O$2:O$64=1))</f>
        <v>0</v>
      </c>
      <c r="P15" s="12" cm="1">
        <f t="array" ref="P15">SUMPRODUCT(('Overview of indicators and DLS'!$C$4:$C$66=$B15)*(Experiments!P$2:P$64=1))</f>
        <v>0</v>
      </c>
      <c r="Q15" s="12" cm="1">
        <f t="array" ref="Q15">SUMPRODUCT(('Overview of indicators and DLS'!$C$4:$C$66=$B15)*(Experiments!Q$2:Q$64=1))</f>
        <v>0</v>
      </c>
      <c r="R15" s="12" cm="1">
        <f t="array" ref="R15">SUMPRODUCT(('Overview of indicators and DLS'!$C$4:$C$66=$B15)*(Experiments!R$2:R$64=1))</f>
        <v>0</v>
      </c>
      <c r="S15" s="12" cm="1">
        <f t="array" ref="S15">SUMPRODUCT(('Overview of indicators and DLS'!$C$4:$C$66=$B15)*(Experiments!S$2:S$64=1))</f>
        <v>0</v>
      </c>
      <c r="U15" t="s">
        <v>54</v>
      </c>
    </row>
    <row r="16" spans="1:24" x14ac:dyDescent="0.25">
      <c r="B16" s="11"/>
      <c r="C16" s="20"/>
      <c r="D16" s="14"/>
      <c r="E16" s="8"/>
      <c r="F16" s="8"/>
      <c r="G16" s="8"/>
      <c r="H16" s="11"/>
      <c r="I16" s="18"/>
      <c r="J16" s="8"/>
      <c r="K16" s="8"/>
      <c r="L16" s="8"/>
      <c r="M16" s="8"/>
      <c r="N16" s="8"/>
      <c r="O16" s="8"/>
      <c r="P16" s="8"/>
      <c r="Q16" s="8"/>
      <c r="R16" s="8"/>
      <c r="S16" s="8"/>
    </row>
    <row r="17" spans="1:51" x14ac:dyDescent="0.25">
      <c r="B17" s="15" t="s">
        <v>33</v>
      </c>
      <c r="C17" s="20">
        <f>SUM(C5:C15)</f>
        <v>33</v>
      </c>
      <c r="D17" s="14">
        <f>SUM(D5:D15)</f>
        <v>43</v>
      </c>
      <c r="E17" s="14">
        <f t="shared" ref="E17:Q17" si="0">SUM(E5:E15)</f>
        <v>11</v>
      </c>
      <c r="F17" s="14">
        <f t="shared" si="0"/>
        <v>11</v>
      </c>
      <c r="G17" s="14">
        <f t="shared" si="0"/>
        <v>37</v>
      </c>
      <c r="H17" s="15">
        <f t="shared" si="0"/>
        <v>15</v>
      </c>
      <c r="I17" s="20">
        <f t="shared" si="0"/>
        <v>11</v>
      </c>
      <c r="J17" s="14">
        <f t="shared" si="0"/>
        <v>11</v>
      </c>
      <c r="K17" s="14">
        <f t="shared" si="0"/>
        <v>11</v>
      </c>
      <c r="L17" s="14">
        <f t="shared" si="0"/>
        <v>37</v>
      </c>
      <c r="M17" s="14">
        <f t="shared" si="0"/>
        <v>11</v>
      </c>
      <c r="N17" s="14">
        <f t="shared" si="0"/>
        <v>19</v>
      </c>
      <c r="O17" s="14">
        <f t="shared" si="0"/>
        <v>52</v>
      </c>
      <c r="P17" s="14">
        <f t="shared" si="0"/>
        <v>29</v>
      </c>
      <c r="Q17" s="14">
        <f t="shared" si="0"/>
        <v>10</v>
      </c>
      <c r="R17" s="14">
        <f t="shared" ref="R17:S17" si="1">SUM(R5:R15)</f>
        <v>33</v>
      </c>
      <c r="S17" s="14">
        <f t="shared" si="1"/>
        <v>62</v>
      </c>
    </row>
    <row r="18" spans="1:51" x14ac:dyDescent="0.25">
      <c r="B18" s="11" t="s">
        <v>34</v>
      </c>
      <c r="C18" s="18">
        <f>SUM(Experiments!C2:C53)</f>
        <v>33</v>
      </c>
      <c r="D18" s="8">
        <f>SUM(Experiments!D2:D53)</f>
        <v>33</v>
      </c>
      <c r="E18" s="8">
        <f>SUM(Experiments!E2:E53)</f>
        <v>7</v>
      </c>
      <c r="F18" s="8">
        <f>SUM(Experiments!F2:F53)</f>
        <v>10</v>
      </c>
      <c r="G18" s="8">
        <f>SUM(Experiments!G2:G53)</f>
        <v>28</v>
      </c>
      <c r="H18" s="11">
        <f>SUM(Experiments!H2:H53)</f>
        <v>11</v>
      </c>
      <c r="I18" s="18">
        <f>SUM(Experiments!I2:I53)</f>
        <v>7</v>
      </c>
      <c r="J18" s="8">
        <f>SUM(Experiments!J2:J53)</f>
        <v>10</v>
      </c>
      <c r="K18" s="8">
        <f>SUM(Experiments!K2:K53)</f>
        <v>8</v>
      </c>
      <c r="L18" s="8">
        <f>SUM(Experiments!L2:L53)</f>
        <v>28</v>
      </c>
      <c r="M18" s="8">
        <f>SUM(Experiments!M2:M53)</f>
        <v>9</v>
      </c>
      <c r="N18" s="8">
        <f>SUM(Experiments!N2:N53)</f>
        <v>19</v>
      </c>
      <c r="O18" s="8">
        <f>SUM(Experiments!O2:O53)</f>
        <v>52</v>
      </c>
      <c r="P18" s="8">
        <f>SUM(Experiments!P2:P53)</f>
        <v>28</v>
      </c>
      <c r="Q18" s="8">
        <f>SUM(Experiments!Q2:Q53)</f>
        <v>10</v>
      </c>
      <c r="R18" s="8">
        <f>SUM(Experiments!R2:R53)</f>
        <v>24</v>
      </c>
      <c r="S18" s="8">
        <f>SUM(Experiments!S2:S53)</f>
        <v>52</v>
      </c>
    </row>
    <row r="19" spans="1:51" x14ac:dyDescent="0.25">
      <c r="B19" s="11" t="s">
        <v>35</v>
      </c>
      <c r="C19" s="18">
        <f>SUM(Experiments!C54:C64)</f>
        <v>0</v>
      </c>
      <c r="D19" s="8">
        <f>SUM(Experiments!D54:D64)</f>
        <v>10</v>
      </c>
      <c r="E19" s="8">
        <f>SUM(Experiments!E54:E64)</f>
        <v>4</v>
      </c>
      <c r="F19" s="8">
        <f>SUM(Experiments!F54:F64)</f>
        <v>1</v>
      </c>
      <c r="G19" s="8">
        <f>SUM(Experiments!G54:G64)</f>
        <v>9</v>
      </c>
      <c r="H19" s="11">
        <f>SUM(Experiments!H54:H64)</f>
        <v>4</v>
      </c>
      <c r="I19" s="18">
        <f>SUM(Experiments!I54:I64)</f>
        <v>4</v>
      </c>
      <c r="J19" s="8">
        <f>SUM(Experiments!J54:J64)</f>
        <v>1</v>
      </c>
      <c r="K19" s="8">
        <f>SUM(Experiments!K54:K64)</f>
        <v>3</v>
      </c>
      <c r="L19" s="8">
        <f>SUM(Experiments!L54:L64)</f>
        <v>9</v>
      </c>
      <c r="M19" s="8">
        <f>SUM(Experiments!M54:M64)</f>
        <v>2</v>
      </c>
      <c r="N19" s="8">
        <f>SUM(Experiments!N54:N64)</f>
        <v>0</v>
      </c>
      <c r="O19" s="8">
        <f>SUM(Experiments!O54:O64)</f>
        <v>0</v>
      </c>
      <c r="P19" s="8">
        <f>SUM(Experiments!P54:P64)</f>
        <v>1</v>
      </c>
      <c r="Q19" s="8">
        <f>SUM(Experiments!Q54:Q64)</f>
        <v>0</v>
      </c>
      <c r="R19" s="8">
        <f>SUM(Experiments!R54:R64)</f>
        <v>9</v>
      </c>
      <c r="S19" s="8">
        <f>SUM(Experiments!S54:S64)</f>
        <v>10</v>
      </c>
    </row>
    <row r="21" spans="1:51" x14ac:dyDescent="0.25">
      <c r="A21" t="s">
        <v>55</v>
      </c>
      <c r="B21" s="5" t="s">
        <v>48</v>
      </c>
      <c r="C21" s="53" t="s">
        <v>40</v>
      </c>
      <c r="D21" s="53"/>
      <c r="E21" s="53"/>
      <c r="F21" s="53"/>
      <c r="G21" s="53"/>
      <c r="H21" s="53"/>
      <c r="I21" s="53" t="s">
        <v>41</v>
      </c>
      <c r="J21" s="53"/>
      <c r="K21" s="53"/>
      <c r="L21" s="53"/>
      <c r="M21" s="53"/>
      <c r="N21" s="53"/>
      <c r="O21" s="53"/>
      <c r="Q21" s="1" t="s">
        <v>58</v>
      </c>
      <c r="AR21" s="1" t="s">
        <v>66</v>
      </c>
    </row>
    <row r="22" spans="1:51" ht="90.6" customHeight="1" x14ac:dyDescent="0.25">
      <c r="A22">
        <v>1</v>
      </c>
      <c r="B22" s="7" t="str" cm="1">
        <f t="array" ref="B22:B38">TRANSPOSE(_xlfn.ANCHORARRAY(C4))</f>
        <v>BHN_FWB</v>
      </c>
      <c r="C22" s="49" t="s">
        <v>43</v>
      </c>
      <c r="D22" s="49"/>
      <c r="E22" s="49"/>
      <c r="F22" s="49"/>
      <c r="G22" s="49"/>
      <c r="H22" s="49"/>
      <c r="I22" s="48"/>
      <c r="J22" s="48"/>
      <c r="K22" s="48"/>
      <c r="L22" s="48"/>
      <c r="M22" s="48"/>
      <c r="N22" s="48"/>
      <c r="O22" s="48"/>
      <c r="Q22" s="41" t="e" vm="9">
        <v>#VALUE!</v>
      </c>
      <c r="R22" s="41"/>
      <c r="S22" s="41"/>
      <c r="T22" s="41"/>
      <c r="U22" s="41"/>
      <c r="V22" s="41"/>
      <c r="W22" s="41"/>
      <c r="X22" s="41"/>
      <c r="Y22" s="41"/>
      <c r="Z22" s="41"/>
      <c r="AA22" s="41"/>
      <c r="AB22" s="41" t="e" vm="10">
        <v>#VALUE!</v>
      </c>
      <c r="AC22" s="41"/>
      <c r="AD22" s="41"/>
      <c r="AE22" s="41"/>
      <c r="AF22" s="41"/>
      <c r="AG22" s="41"/>
      <c r="AH22" s="41"/>
      <c r="AI22" s="41"/>
      <c r="AJ22" s="41"/>
      <c r="AK22" s="41"/>
      <c r="AL22" s="41"/>
      <c r="AM22" s="41"/>
      <c r="AN22" s="41"/>
      <c r="AO22" s="41"/>
      <c r="AP22" s="41"/>
      <c r="AQ22" s="41"/>
      <c r="AR22" s="41" t="e" vm="3">
        <v>#VALUE!</v>
      </c>
      <c r="AS22" s="41"/>
      <c r="AT22" s="41"/>
      <c r="AU22" s="41"/>
      <c r="AV22" s="41"/>
      <c r="AW22" s="41"/>
      <c r="AX22" s="41"/>
      <c r="AY22" s="41"/>
    </row>
    <row r="23" spans="1:51" ht="87.6" customHeight="1" x14ac:dyDescent="0.25">
      <c r="A23">
        <v>1</v>
      </c>
      <c r="B23" s="26" t="str">
        <v>BHN_FWB_AllExt</v>
      </c>
      <c r="C23" s="57" t="s">
        <v>42</v>
      </c>
      <c r="D23" s="57"/>
      <c r="E23" s="57"/>
      <c r="F23" s="57"/>
      <c r="G23" s="57"/>
      <c r="H23" s="57"/>
      <c r="I23" s="48"/>
      <c r="J23" s="48"/>
      <c r="K23" s="48"/>
      <c r="L23" s="48"/>
      <c r="M23" s="48"/>
      <c r="N23" s="48"/>
      <c r="O23" s="48"/>
      <c r="Q23" s="41"/>
      <c r="R23" s="41"/>
      <c r="S23" s="41"/>
      <c r="T23" s="41"/>
      <c r="U23" s="41"/>
      <c r="V23" s="41"/>
      <c r="W23" s="41"/>
      <c r="X23" s="41"/>
      <c r="Y23" s="41"/>
      <c r="Z23" s="41"/>
      <c r="AA23" s="41"/>
      <c r="AB23" s="41"/>
      <c r="AC23" s="41"/>
      <c r="AD23" s="41"/>
      <c r="AE23" s="41"/>
      <c r="AF23" s="41"/>
      <c r="AG23" s="41"/>
      <c r="AH23" s="41"/>
      <c r="AI23" s="41"/>
      <c r="AJ23" s="41"/>
      <c r="AK23" s="41"/>
      <c r="AL23" s="41"/>
      <c r="AM23" s="41"/>
      <c r="AN23" s="41"/>
      <c r="AO23" s="41"/>
      <c r="AP23" s="41"/>
      <c r="AQ23" s="41"/>
      <c r="AR23" s="41"/>
      <c r="AS23" s="41"/>
      <c r="AT23" s="41"/>
      <c r="AU23" s="41"/>
      <c r="AV23" s="41"/>
      <c r="AW23" s="41"/>
      <c r="AX23" s="41"/>
      <c r="AY23" s="41"/>
    </row>
    <row r="24" spans="1:51" ht="108.6" customHeight="1" x14ac:dyDescent="0.25">
      <c r="A24">
        <v>1</v>
      </c>
      <c r="B24" s="7" t="str">
        <v>Few_indicators_closest_DLS_coverage</v>
      </c>
      <c r="C24" s="49" t="s">
        <v>46</v>
      </c>
      <c r="D24" s="49"/>
      <c r="E24" s="49"/>
      <c r="F24" s="49"/>
      <c r="G24" s="49"/>
      <c r="H24" s="49"/>
      <c r="I24" s="48"/>
      <c r="J24" s="48"/>
      <c r="K24" s="48"/>
      <c r="L24" s="48"/>
      <c r="M24" s="48"/>
      <c r="N24" s="48"/>
      <c r="O24" s="48"/>
      <c r="Q24" s="41"/>
      <c r="R24" s="41"/>
      <c r="S24" s="41"/>
      <c r="T24" s="41"/>
      <c r="U24" s="41"/>
      <c r="V24" s="41"/>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c r="AV24" s="41"/>
      <c r="AW24" s="41"/>
      <c r="AX24" s="41"/>
      <c r="AY24" s="41"/>
    </row>
    <row r="25" spans="1:51" ht="81.599999999999994" customHeight="1" x14ac:dyDescent="0.25">
      <c r="A25">
        <v>1</v>
      </c>
      <c r="B25" s="7" t="str">
        <v>Few_indicators_SPI_preferred</v>
      </c>
      <c r="C25" s="49" t="s">
        <v>47</v>
      </c>
      <c r="D25" s="49"/>
      <c r="E25" s="49"/>
      <c r="F25" s="49"/>
      <c r="G25" s="49"/>
      <c r="H25" s="49"/>
      <c r="I25" s="48"/>
      <c r="J25" s="48"/>
      <c r="K25" s="48"/>
      <c r="L25" s="48"/>
      <c r="M25" s="48"/>
      <c r="N25" s="48"/>
      <c r="O25" s="48"/>
      <c r="AB25" s="41"/>
      <c r="AC25" s="41"/>
      <c r="AD25" s="41"/>
      <c r="AE25" s="41"/>
      <c r="AF25" s="41"/>
      <c r="AG25" s="41"/>
      <c r="AH25" s="41"/>
      <c r="AI25" s="41"/>
      <c r="AJ25" s="41"/>
      <c r="AK25" s="41"/>
      <c r="AL25" s="41"/>
      <c r="AM25" s="41"/>
      <c r="AN25" s="41"/>
      <c r="AO25" s="41"/>
      <c r="AP25" s="41"/>
      <c r="AQ25" s="41"/>
    </row>
    <row r="26" spans="1:51" ht="69.599999999999994" customHeight="1" x14ac:dyDescent="0.25">
      <c r="A26">
        <v>1</v>
      </c>
      <c r="B26" s="7" t="str">
        <v>No_non_DLS</v>
      </c>
      <c r="C26" s="50" t="s">
        <v>44</v>
      </c>
      <c r="D26" s="50"/>
      <c r="E26" s="50"/>
      <c r="F26" s="50"/>
      <c r="G26" s="50"/>
      <c r="H26" s="50"/>
      <c r="I26" s="48"/>
      <c r="J26" s="48"/>
      <c r="K26" s="48"/>
      <c r="L26" s="48"/>
      <c r="M26" s="48"/>
      <c r="N26" s="48"/>
      <c r="O26" s="48"/>
      <c r="Q26" s="41"/>
      <c r="R26" s="41"/>
      <c r="S26" s="41"/>
      <c r="T26" s="41"/>
      <c r="U26" s="41"/>
      <c r="V26" s="41"/>
      <c r="W26" s="41"/>
      <c r="X26" s="41"/>
      <c r="Y26" s="41"/>
      <c r="Z26" s="41"/>
      <c r="AA26" s="41"/>
      <c r="AB26" s="41"/>
      <c r="AC26" s="41"/>
      <c r="AD26" s="41"/>
      <c r="AE26" s="41"/>
      <c r="AF26" s="41"/>
      <c r="AG26" s="41"/>
      <c r="AH26" s="41"/>
      <c r="AI26" s="41"/>
      <c r="AJ26" s="41"/>
      <c r="AK26" s="41"/>
      <c r="AL26" s="41"/>
      <c r="AM26" s="41"/>
      <c r="AN26" s="41"/>
      <c r="AO26" s="41"/>
      <c r="AP26" s="41"/>
      <c r="AQ26" s="41"/>
    </row>
    <row r="27" spans="1:51" ht="93" customHeight="1" x14ac:dyDescent="0.25">
      <c r="A27">
        <v>1</v>
      </c>
      <c r="B27" s="26" t="str">
        <v>Only_%_of_pop</v>
      </c>
      <c r="C27" s="55" t="s">
        <v>50</v>
      </c>
      <c r="D27" s="55"/>
      <c r="E27" s="55"/>
      <c r="F27" s="55"/>
      <c r="G27" s="55"/>
      <c r="H27" s="55"/>
      <c r="I27" s="48"/>
      <c r="J27" s="48"/>
      <c r="K27" s="48"/>
      <c r="L27" s="48"/>
      <c r="M27" s="48"/>
      <c r="N27" s="48"/>
      <c r="O27" s="48"/>
      <c r="Q27" s="41"/>
      <c r="R27" s="41"/>
      <c r="S27" s="41"/>
      <c r="T27" s="41"/>
      <c r="U27" s="41"/>
      <c r="V27" s="41"/>
      <c r="W27" s="41"/>
      <c r="X27" s="41"/>
      <c r="Y27" s="41"/>
      <c r="Z27" s="41"/>
      <c r="AA27" s="41"/>
      <c r="AB27" s="41"/>
      <c r="AC27" s="41"/>
      <c r="AD27" s="41"/>
      <c r="AE27" s="41"/>
      <c r="AF27" s="41"/>
      <c r="AG27" s="41"/>
      <c r="AH27" s="41"/>
      <c r="AI27" s="41"/>
      <c r="AJ27" s="41"/>
      <c r="AK27" s="41"/>
      <c r="AL27" s="41"/>
      <c r="AM27" s="41"/>
      <c r="AN27" s="41"/>
      <c r="AO27" s="41"/>
      <c r="AP27" s="41"/>
      <c r="AQ27" s="41"/>
    </row>
    <row r="28" spans="1:51" ht="65.45" customHeight="1" x14ac:dyDescent="0.25">
      <c r="A28">
        <v>2</v>
      </c>
      <c r="B28" s="17" t="str">
        <v>Few_indicators_closest_DLS_coverage_90</v>
      </c>
      <c r="C28" s="44" t="s">
        <v>60</v>
      </c>
      <c r="D28" s="44"/>
      <c r="E28" s="44"/>
      <c r="F28" s="44"/>
      <c r="G28" s="44"/>
      <c r="H28" s="44"/>
      <c r="I28" s="46"/>
      <c r="J28" s="46"/>
      <c r="K28" s="46"/>
      <c r="L28" s="46"/>
      <c r="M28" s="46"/>
      <c r="N28" s="46"/>
      <c r="O28" s="46"/>
      <c r="Q28" s="41"/>
      <c r="R28" s="41"/>
      <c r="S28" s="41"/>
      <c r="T28" s="41"/>
      <c r="U28" s="41"/>
      <c r="V28" s="41"/>
      <c r="W28" s="41"/>
      <c r="X28" s="41"/>
      <c r="Y28" s="41"/>
      <c r="Z28" s="41"/>
      <c r="AA28" s="41"/>
      <c r="AB28" s="41"/>
      <c r="AC28" s="41"/>
      <c r="AD28" s="41"/>
      <c r="AE28" s="41"/>
      <c r="AF28" s="41"/>
      <c r="AG28" s="41"/>
      <c r="AH28" s="41"/>
      <c r="AI28" s="41"/>
      <c r="AJ28" s="41"/>
      <c r="AK28" s="41"/>
      <c r="AL28" s="41"/>
      <c r="AM28" s="41"/>
      <c r="AN28" s="41"/>
      <c r="AO28" s="41"/>
      <c r="AP28" s="41"/>
      <c r="AQ28" s="41"/>
    </row>
    <row r="29" spans="1:51" ht="67.150000000000006" customHeight="1" x14ac:dyDescent="0.25">
      <c r="A29">
        <v>2</v>
      </c>
      <c r="B29" s="17" t="str">
        <v>Few_indicators_SPI_preferred_90</v>
      </c>
      <c r="C29" s="44" t="s">
        <v>60</v>
      </c>
      <c r="D29" s="44"/>
      <c r="E29" s="44"/>
      <c r="F29" s="44"/>
      <c r="G29" s="44"/>
      <c r="H29" s="44"/>
      <c r="I29" s="46"/>
      <c r="J29" s="46"/>
      <c r="K29" s="46"/>
      <c r="L29" s="46"/>
      <c r="M29" s="46"/>
      <c r="N29" s="46"/>
      <c r="O29" s="46"/>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row>
    <row r="30" spans="1:51" ht="55.9" customHeight="1" x14ac:dyDescent="0.25">
      <c r="A30">
        <v>3</v>
      </c>
      <c r="B30" s="17" t="str">
        <v>Few_indicators_closeDLS_subPrimSchool</v>
      </c>
      <c r="C30" s="42" t="s">
        <v>63</v>
      </c>
      <c r="D30" s="42"/>
      <c r="E30" s="42"/>
      <c r="F30" s="42"/>
      <c r="G30" s="42"/>
      <c r="H30" s="42"/>
      <c r="I30" s="46"/>
      <c r="J30" s="46"/>
      <c r="K30" s="46"/>
      <c r="L30" s="46"/>
      <c r="M30" s="46"/>
      <c r="N30" s="46"/>
      <c r="O30" s="46"/>
      <c r="Q30" s="41"/>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row>
    <row r="31" spans="1:51" ht="54.6" customHeight="1" x14ac:dyDescent="0.25">
      <c r="A31">
        <v>3</v>
      </c>
      <c r="B31" s="27" t="str">
        <v>No_non_DLS_90</v>
      </c>
      <c r="C31" s="58" t="s">
        <v>60</v>
      </c>
      <c r="D31" s="58"/>
      <c r="E31" s="58"/>
      <c r="F31" s="58"/>
      <c r="G31" s="58"/>
      <c r="H31" s="58"/>
      <c r="I31" s="58" t="s">
        <v>74</v>
      </c>
      <c r="J31" s="58"/>
      <c r="K31" s="58"/>
      <c r="L31" s="58"/>
      <c r="M31" s="58"/>
      <c r="N31" s="58"/>
      <c r="O31" s="58"/>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row>
    <row r="32" spans="1:51" ht="103.9" customHeight="1" x14ac:dyDescent="0.25">
      <c r="A32">
        <v>3</v>
      </c>
      <c r="B32" s="27" t="str">
        <v>Few_Indicators_subWatSani</v>
      </c>
      <c r="C32" s="58" t="s">
        <v>65</v>
      </c>
      <c r="D32" s="58"/>
      <c r="E32" s="58"/>
      <c r="F32" s="58"/>
      <c r="G32" s="58"/>
      <c r="H32" s="58"/>
      <c r="I32" s="46"/>
      <c r="J32" s="46"/>
      <c r="K32" s="46"/>
      <c r="L32" s="46"/>
      <c r="M32" s="46"/>
      <c r="N32" s="46"/>
      <c r="O32" s="46"/>
      <c r="Q32" s="41"/>
      <c r="R32" s="41"/>
      <c r="S32" s="41"/>
      <c r="T32" s="41"/>
      <c r="U32" s="41"/>
      <c r="V32" s="41"/>
      <c r="W32" s="41"/>
      <c r="X32" s="41"/>
      <c r="Y32" s="41"/>
      <c r="Z32" s="41"/>
      <c r="AA32" s="41"/>
      <c r="AB32" s="41"/>
      <c r="AC32" s="41"/>
      <c r="AD32" s="41"/>
      <c r="AE32" s="41"/>
      <c r="AF32" s="41"/>
      <c r="AG32" s="41"/>
      <c r="AH32" s="41"/>
      <c r="AI32" s="41"/>
      <c r="AJ32" s="41"/>
      <c r="AK32" s="41"/>
      <c r="AL32" s="41"/>
      <c r="AM32" s="41"/>
      <c r="AN32" s="41"/>
      <c r="AO32" s="41"/>
      <c r="AP32" s="41"/>
      <c r="AQ32" s="41"/>
    </row>
    <row r="33" spans="1:43" x14ac:dyDescent="0.25">
      <c r="A33">
        <v>4</v>
      </c>
      <c r="B33" s="28" t="str">
        <v>Only_OPP</v>
      </c>
      <c r="C33" s="59" t="s">
        <v>68</v>
      </c>
      <c r="D33" s="59"/>
      <c r="E33" s="59"/>
      <c r="F33" s="59"/>
      <c r="G33" s="59"/>
      <c r="H33" s="59"/>
      <c r="I33" s="43"/>
      <c r="J33" s="43"/>
      <c r="K33" s="43"/>
      <c r="L33" s="43"/>
      <c r="M33" s="43"/>
      <c r="N33" s="43"/>
      <c r="O33" s="43"/>
      <c r="Q33" s="41"/>
      <c r="R33" s="41"/>
      <c r="S33" s="41"/>
      <c r="T33" s="41"/>
      <c r="U33" s="41"/>
      <c r="V33" s="41"/>
      <c r="W33" s="41"/>
      <c r="X33" s="41"/>
      <c r="Y33" s="41"/>
      <c r="Z33" s="41"/>
      <c r="AA33" s="41"/>
      <c r="AB33" s="41"/>
      <c r="AC33" s="41"/>
      <c r="AD33" s="41"/>
      <c r="AE33" s="41"/>
      <c r="AF33" s="41"/>
      <c r="AG33" s="41"/>
      <c r="AH33" s="41"/>
      <c r="AI33" s="41"/>
      <c r="AJ33" s="41"/>
      <c r="AK33" s="41"/>
      <c r="AL33" s="41"/>
      <c r="AM33" s="41"/>
      <c r="AN33" s="41"/>
      <c r="AO33" s="41"/>
      <c r="AP33" s="41"/>
      <c r="AQ33" s="41"/>
    </row>
    <row r="34" spans="1:43" x14ac:dyDescent="0.25">
      <c r="B34" s="6" t="str">
        <v>Baseline</v>
      </c>
      <c r="C34" s="43"/>
      <c r="D34" s="43"/>
      <c r="E34" s="43"/>
      <c r="F34" s="43"/>
      <c r="G34" s="43"/>
      <c r="H34" s="43"/>
      <c r="I34" s="43"/>
      <c r="J34" s="43"/>
      <c r="K34" s="43"/>
      <c r="L34" s="43"/>
      <c r="M34" s="43"/>
      <c r="N34" s="43"/>
      <c r="O34" s="43"/>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row>
    <row r="35" spans="1:43" x14ac:dyDescent="0.25">
      <c r="B35" s="28" t="str">
        <v>No_nonDLS_limExt</v>
      </c>
      <c r="C35" s="56"/>
      <c r="D35" s="56"/>
      <c r="E35" s="56"/>
      <c r="F35" s="56"/>
      <c r="G35" s="56"/>
      <c r="H35" s="56"/>
      <c r="I35" s="56" t="s">
        <v>71</v>
      </c>
      <c r="J35" s="56"/>
      <c r="K35" s="56"/>
      <c r="L35" s="56"/>
      <c r="M35" s="56"/>
      <c r="N35" s="56"/>
      <c r="O35" s="56"/>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row>
    <row r="36" spans="1:43" ht="76.150000000000006" customHeight="1" x14ac:dyDescent="0.25">
      <c r="B36" s="6" t="str">
        <v>BHN</v>
      </c>
      <c r="C36" s="47" t="s">
        <v>72</v>
      </c>
      <c r="D36" s="47"/>
      <c r="E36" s="47"/>
      <c r="F36" s="47"/>
      <c r="G36" s="47"/>
      <c r="H36" s="47"/>
      <c r="I36" s="43"/>
      <c r="J36" s="43"/>
      <c r="K36" s="43"/>
      <c r="L36" s="43"/>
      <c r="M36" s="43"/>
      <c r="N36" s="43"/>
      <c r="O36" s="43"/>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row>
    <row r="37" spans="1:43" x14ac:dyDescent="0.25">
      <c r="B37" t="str">
        <v>No_non_DLS_BHNFWB</v>
      </c>
      <c r="AB37" s="41"/>
      <c r="AC37" s="41"/>
      <c r="AD37" s="41"/>
      <c r="AE37" s="41"/>
      <c r="AF37" s="41"/>
      <c r="AG37" s="41"/>
      <c r="AH37" s="41"/>
      <c r="AI37" s="41"/>
      <c r="AJ37" s="41"/>
      <c r="AK37" s="41"/>
      <c r="AL37" s="41"/>
      <c r="AM37" s="41"/>
      <c r="AN37" s="41"/>
      <c r="AO37" s="41"/>
      <c r="AP37" s="41"/>
      <c r="AQ37" s="41"/>
    </row>
    <row r="38" spans="1:43" x14ac:dyDescent="0.25">
      <c r="B38" t="str">
        <v>All_indicators</v>
      </c>
      <c r="AB38" s="41"/>
      <c r="AC38" s="41"/>
      <c r="AD38" s="41"/>
      <c r="AE38" s="41"/>
      <c r="AF38" s="41"/>
      <c r="AG38" s="41"/>
      <c r="AH38" s="41"/>
      <c r="AI38" s="41"/>
      <c r="AJ38" s="41"/>
      <c r="AK38" s="41"/>
      <c r="AL38" s="41"/>
      <c r="AM38" s="41"/>
      <c r="AN38" s="41"/>
      <c r="AO38" s="41"/>
      <c r="AP38" s="41"/>
      <c r="AQ38" s="41"/>
    </row>
    <row r="39" spans="1:43" x14ac:dyDescent="0.25">
      <c r="AB39" s="41"/>
      <c r="AC39" s="41"/>
      <c r="AD39" s="41"/>
      <c r="AE39" s="41"/>
      <c r="AF39" s="41"/>
      <c r="AG39" s="41"/>
      <c r="AH39" s="41"/>
      <c r="AI39" s="41"/>
      <c r="AJ39" s="41"/>
      <c r="AK39" s="41"/>
      <c r="AL39" s="41"/>
      <c r="AM39" s="41"/>
      <c r="AN39" s="41"/>
      <c r="AO39" s="41"/>
      <c r="AP39" s="41"/>
      <c r="AQ39" s="41"/>
    </row>
    <row r="40" spans="1:43" x14ac:dyDescent="0.25">
      <c r="AB40" s="41"/>
      <c r="AC40" s="41"/>
      <c r="AD40" s="41"/>
      <c r="AE40" s="41"/>
      <c r="AF40" s="41"/>
      <c r="AG40" s="41"/>
      <c r="AH40" s="41"/>
      <c r="AI40" s="41"/>
      <c r="AJ40" s="41"/>
      <c r="AK40" s="41"/>
      <c r="AL40" s="41"/>
      <c r="AM40" s="41"/>
      <c r="AN40" s="41"/>
      <c r="AO40" s="41"/>
      <c r="AP40" s="41"/>
      <c r="AQ40" s="41"/>
    </row>
    <row r="41" spans="1:43" x14ac:dyDescent="0.25">
      <c r="AB41" s="41"/>
      <c r="AC41" s="41"/>
      <c r="AD41" s="41"/>
      <c r="AE41" s="41"/>
      <c r="AF41" s="41"/>
      <c r="AG41" s="41"/>
      <c r="AH41" s="41"/>
      <c r="AI41" s="41"/>
      <c r="AJ41" s="41"/>
      <c r="AK41" s="41"/>
      <c r="AL41" s="41"/>
      <c r="AM41" s="41"/>
      <c r="AN41" s="41"/>
      <c r="AO41" s="41"/>
      <c r="AP41" s="41"/>
      <c r="AQ41" s="41"/>
    </row>
    <row r="42" spans="1:43" x14ac:dyDescent="0.25">
      <c r="AB42" s="41" t="e" vm="8">
        <v>#VALUE!</v>
      </c>
      <c r="AC42" s="41"/>
      <c r="AD42" s="41"/>
      <c r="AE42" s="41"/>
      <c r="AF42" s="41"/>
      <c r="AG42" s="41"/>
      <c r="AH42" s="41"/>
      <c r="AI42" s="41"/>
      <c r="AJ42" s="41"/>
      <c r="AK42" s="41"/>
      <c r="AL42" s="41"/>
      <c r="AM42" s="41"/>
      <c r="AN42" s="41"/>
      <c r="AO42" s="41"/>
      <c r="AP42" s="41"/>
      <c r="AQ42" s="41"/>
    </row>
    <row r="43" spans="1:43" x14ac:dyDescent="0.25">
      <c r="AB43" s="41"/>
      <c r="AC43" s="41"/>
      <c r="AD43" s="41"/>
      <c r="AE43" s="41"/>
      <c r="AF43" s="41"/>
      <c r="AG43" s="41"/>
      <c r="AH43" s="41"/>
      <c r="AI43" s="41"/>
      <c r="AJ43" s="41"/>
      <c r="AK43" s="41"/>
      <c r="AL43" s="41"/>
      <c r="AM43" s="41"/>
      <c r="AN43" s="41"/>
      <c r="AO43" s="41"/>
      <c r="AP43" s="41"/>
      <c r="AQ43" s="41"/>
    </row>
    <row r="44" spans="1:43" x14ac:dyDescent="0.25">
      <c r="AB44" s="41"/>
      <c r="AC44" s="41"/>
      <c r="AD44" s="41"/>
      <c r="AE44" s="41"/>
      <c r="AF44" s="41"/>
      <c r="AG44" s="41"/>
      <c r="AH44" s="41"/>
      <c r="AI44" s="41"/>
      <c r="AJ44" s="41"/>
      <c r="AK44" s="41"/>
      <c r="AL44" s="41"/>
      <c r="AM44" s="41"/>
      <c r="AN44" s="41"/>
      <c r="AO44" s="41"/>
      <c r="AP44" s="41"/>
      <c r="AQ44" s="41"/>
    </row>
    <row r="45" spans="1:43" x14ac:dyDescent="0.25">
      <c r="AB45" s="41"/>
      <c r="AC45" s="41"/>
      <c r="AD45" s="41"/>
      <c r="AE45" s="41"/>
      <c r="AF45" s="41"/>
      <c r="AG45" s="41"/>
      <c r="AH45" s="41"/>
      <c r="AI45" s="41"/>
      <c r="AJ45" s="41"/>
      <c r="AK45" s="41"/>
      <c r="AL45" s="41"/>
      <c r="AM45" s="41"/>
      <c r="AN45" s="41"/>
      <c r="AO45" s="41"/>
      <c r="AP45" s="41"/>
      <c r="AQ45" s="41"/>
    </row>
    <row r="46" spans="1:43" x14ac:dyDescent="0.25">
      <c r="AB46" s="41"/>
      <c r="AC46" s="41"/>
      <c r="AD46" s="41"/>
      <c r="AE46" s="41"/>
      <c r="AF46" s="41"/>
      <c r="AG46" s="41"/>
      <c r="AH46" s="41"/>
      <c r="AI46" s="41"/>
      <c r="AJ46" s="41"/>
      <c r="AK46" s="41"/>
      <c r="AL46" s="41"/>
      <c r="AM46" s="41"/>
      <c r="AN46" s="41"/>
      <c r="AO46" s="41"/>
      <c r="AP46" s="41"/>
      <c r="AQ46" s="41"/>
    </row>
    <row r="47" spans="1:43" x14ac:dyDescent="0.25">
      <c r="AB47" s="41"/>
      <c r="AC47" s="41"/>
      <c r="AD47" s="41"/>
      <c r="AE47" s="41"/>
      <c r="AF47" s="41"/>
      <c r="AG47" s="41"/>
      <c r="AH47" s="41"/>
      <c r="AI47" s="41"/>
      <c r="AJ47" s="41"/>
      <c r="AK47" s="41"/>
      <c r="AL47" s="41"/>
      <c r="AM47" s="41"/>
      <c r="AN47" s="41"/>
      <c r="AO47" s="41"/>
      <c r="AP47" s="41"/>
      <c r="AQ47" s="41"/>
    </row>
    <row r="48" spans="1:43" x14ac:dyDescent="0.25">
      <c r="AB48" s="41"/>
      <c r="AC48" s="41"/>
      <c r="AD48" s="41"/>
      <c r="AE48" s="41"/>
      <c r="AF48" s="41"/>
      <c r="AG48" s="41"/>
      <c r="AH48" s="41"/>
      <c r="AI48" s="41"/>
      <c r="AJ48" s="41"/>
      <c r="AK48" s="41"/>
      <c r="AL48" s="41"/>
      <c r="AM48" s="41"/>
      <c r="AN48" s="41"/>
      <c r="AO48" s="41"/>
      <c r="AP48" s="41"/>
      <c r="AQ48" s="41"/>
    </row>
    <row r="49" spans="28:43" x14ac:dyDescent="0.25">
      <c r="AB49" s="41"/>
      <c r="AC49" s="41"/>
      <c r="AD49" s="41"/>
      <c r="AE49" s="41"/>
      <c r="AF49" s="41"/>
      <c r="AG49" s="41"/>
      <c r="AH49" s="41"/>
      <c r="AI49" s="41"/>
      <c r="AJ49" s="41"/>
      <c r="AK49" s="41"/>
      <c r="AL49" s="41"/>
      <c r="AM49" s="41"/>
      <c r="AN49" s="41"/>
      <c r="AO49" s="41"/>
      <c r="AP49" s="41"/>
      <c r="AQ49" s="41"/>
    </row>
    <row r="50" spans="28:43" x14ac:dyDescent="0.25">
      <c r="AB50" s="41"/>
      <c r="AC50" s="41"/>
      <c r="AD50" s="41"/>
      <c r="AE50" s="41"/>
      <c r="AF50" s="41"/>
      <c r="AG50" s="41"/>
      <c r="AH50" s="41"/>
      <c r="AI50" s="41"/>
      <c r="AJ50" s="41"/>
      <c r="AK50" s="41"/>
      <c r="AL50" s="41"/>
      <c r="AM50" s="41"/>
      <c r="AN50" s="41"/>
      <c r="AO50" s="41"/>
      <c r="AP50" s="41"/>
      <c r="AQ50" s="41"/>
    </row>
    <row r="51" spans="28:43" x14ac:dyDescent="0.25">
      <c r="AB51" s="41"/>
      <c r="AC51" s="41"/>
      <c r="AD51" s="41"/>
      <c r="AE51" s="41"/>
      <c r="AF51" s="41"/>
      <c r="AG51" s="41"/>
      <c r="AH51" s="41"/>
      <c r="AI51" s="41"/>
      <c r="AJ51" s="41"/>
      <c r="AK51" s="41"/>
      <c r="AL51" s="41"/>
      <c r="AM51" s="41"/>
      <c r="AN51" s="41"/>
      <c r="AO51" s="41"/>
      <c r="AP51" s="41"/>
      <c r="AQ51" s="41"/>
    </row>
    <row r="52" spans="28:43" x14ac:dyDescent="0.25">
      <c r="AB52" s="41"/>
      <c r="AC52" s="41"/>
      <c r="AD52" s="41"/>
      <c r="AE52" s="41"/>
      <c r="AF52" s="41"/>
      <c r="AG52" s="41"/>
      <c r="AH52" s="41"/>
      <c r="AI52" s="41"/>
      <c r="AJ52" s="41"/>
      <c r="AK52" s="41"/>
      <c r="AL52" s="41"/>
      <c r="AM52" s="41"/>
      <c r="AN52" s="41"/>
      <c r="AO52" s="41"/>
      <c r="AP52" s="41"/>
      <c r="AQ52" s="41"/>
    </row>
    <row r="53" spans="28:43" x14ac:dyDescent="0.25">
      <c r="AB53" s="41"/>
      <c r="AC53" s="41"/>
      <c r="AD53" s="41"/>
      <c r="AE53" s="41"/>
      <c r="AF53" s="41"/>
      <c r="AG53" s="41"/>
      <c r="AH53" s="41"/>
      <c r="AI53" s="41"/>
      <c r="AJ53" s="41"/>
      <c r="AK53" s="41"/>
      <c r="AL53" s="41"/>
      <c r="AM53" s="41"/>
      <c r="AN53" s="41"/>
      <c r="AO53" s="41"/>
      <c r="AP53" s="41"/>
      <c r="AQ53" s="41"/>
    </row>
  </sheetData>
  <mergeCells count="42">
    <mergeCell ref="AB42:AQ53"/>
    <mergeCell ref="T4:X4"/>
    <mergeCell ref="AB32:AQ41"/>
    <mergeCell ref="Q30:AA36"/>
    <mergeCell ref="C36:H36"/>
    <mergeCell ref="I36:O36"/>
    <mergeCell ref="C29:H29"/>
    <mergeCell ref="I29:O29"/>
    <mergeCell ref="C30:H30"/>
    <mergeCell ref="I30:O30"/>
    <mergeCell ref="C31:H31"/>
    <mergeCell ref="I31:O31"/>
    <mergeCell ref="C32:H32"/>
    <mergeCell ref="I32:O32"/>
    <mergeCell ref="C33:H33"/>
    <mergeCell ref="I33:O33"/>
    <mergeCell ref="C34:H34"/>
    <mergeCell ref="I34:O34"/>
    <mergeCell ref="C35:H35"/>
    <mergeCell ref="I35:O35"/>
    <mergeCell ref="AR22:AY24"/>
    <mergeCell ref="C23:H23"/>
    <mergeCell ref="I23:O23"/>
    <mergeCell ref="C24:H24"/>
    <mergeCell ref="I24:O24"/>
    <mergeCell ref="Q22:AA24"/>
    <mergeCell ref="AB22:AQ31"/>
    <mergeCell ref="C25:H25"/>
    <mergeCell ref="I25:O25"/>
    <mergeCell ref="C26:H26"/>
    <mergeCell ref="I26:O26"/>
    <mergeCell ref="Q26:AA29"/>
    <mergeCell ref="C27:H27"/>
    <mergeCell ref="I27:O27"/>
    <mergeCell ref="C28:H28"/>
    <mergeCell ref="I28:O28"/>
    <mergeCell ref="C3:H3"/>
    <mergeCell ref="I3:J3"/>
    <mergeCell ref="C21:H21"/>
    <mergeCell ref="I21:O21"/>
    <mergeCell ref="C22:H22"/>
    <mergeCell ref="I22:O22"/>
  </mergeCells>
  <conditionalFormatting sqref="C5:S15">
    <cfRule type="cellIs" dxfId="1" priority="1" operator="greaterThan">
      <formula>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13708-7016-4142-ADAA-C3FCCAD91158}">
  <sheetPr>
    <tabColor theme="9" tint="-0.249977111117893"/>
  </sheetPr>
  <dimension ref="A1:S65"/>
  <sheetViews>
    <sheetView topLeftCell="A43" workbookViewId="0">
      <pane xSplit="1" topLeftCell="H1" activePane="topRight" state="frozen"/>
      <selection pane="topRight" activeCell="S57" sqref="S57"/>
    </sheetView>
  </sheetViews>
  <sheetFormatPr defaultRowHeight="15" x14ac:dyDescent="0.25"/>
  <cols>
    <col min="1" max="1" width="62.5703125" customWidth="1"/>
    <col min="2" max="2" width="25.28515625" customWidth="1"/>
    <col min="3" max="3" width="14.28515625" customWidth="1"/>
    <col min="4" max="4" width="20.140625" customWidth="1"/>
    <col min="5" max="5" width="15" customWidth="1"/>
    <col min="6" max="6" width="26.140625" bestFit="1" customWidth="1"/>
    <col min="7" max="7" width="14" customWidth="1"/>
    <col min="8" max="8" width="13.85546875" customWidth="1"/>
    <col min="9" max="9" width="13.28515625" customWidth="1"/>
    <col min="11" max="11" width="13.5703125" customWidth="1"/>
  </cols>
  <sheetData>
    <row r="1" spans="1:19" x14ac:dyDescent="0.25">
      <c r="A1" s="1" t="s">
        <v>49</v>
      </c>
      <c r="B1" s="1" t="s">
        <v>17</v>
      </c>
      <c r="C1" t="s">
        <v>31</v>
      </c>
      <c r="D1" t="s">
        <v>32</v>
      </c>
      <c r="E1" t="s">
        <v>39</v>
      </c>
      <c r="F1" t="s">
        <v>79</v>
      </c>
      <c r="G1" t="s">
        <v>37</v>
      </c>
      <c r="H1" t="s">
        <v>38</v>
      </c>
      <c r="I1" s="21" t="s">
        <v>59</v>
      </c>
      <c r="J1" t="s">
        <v>78</v>
      </c>
      <c r="K1" s="21" t="s">
        <v>61</v>
      </c>
      <c r="L1" t="s">
        <v>62</v>
      </c>
      <c r="M1" t="s">
        <v>64</v>
      </c>
      <c r="N1" t="s">
        <v>67</v>
      </c>
      <c r="O1" t="s">
        <v>69</v>
      </c>
      <c r="P1" t="s">
        <v>70</v>
      </c>
      <c r="Q1" t="s">
        <v>14</v>
      </c>
      <c r="R1" t="s">
        <v>76</v>
      </c>
      <c r="S1" t="s">
        <v>77</v>
      </c>
    </row>
    <row r="2" spans="1:19" x14ac:dyDescent="0.25">
      <c r="A2" s="3" t="str" cm="1">
        <f t="array" ref="A2:A53">TRANSPOSE('[1]1990-2020 Time-series data'!$Y$2:$BX$2)</f>
        <v xml:space="preserve">Child stunting (% of pop.) </v>
      </c>
      <c r="B2" t="s">
        <v>18</v>
      </c>
      <c r="C2">
        <v>1</v>
      </c>
      <c r="D2">
        <v>1</v>
      </c>
      <c r="E2">
        <v>0</v>
      </c>
      <c r="F2">
        <v>0</v>
      </c>
      <c r="G2">
        <v>1</v>
      </c>
      <c r="H2">
        <v>1</v>
      </c>
      <c r="I2" s="21">
        <v>0</v>
      </c>
      <c r="J2">
        <v>0</v>
      </c>
      <c r="K2" s="21">
        <v>0</v>
      </c>
      <c r="L2">
        <v>1</v>
      </c>
      <c r="M2">
        <v>0</v>
      </c>
      <c r="N2">
        <v>0</v>
      </c>
      <c r="O2">
        <v>1</v>
      </c>
      <c r="P2">
        <v>1</v>
      </c>
      <c r="Q2">
        <v>1</v>
      </c>
      <c r="R2">
        <v>1</v>
      </c>
      <c r="S2">
        <v>1</v>
      </c>
    </row>
    <row r="3" spans="1:19" x14ac:dyDescent="0.25">
      <c r="A3" s="3" t="str">
        <v>Deaths from infectious diseases (deaths/100,000)</v>
      </c>
      <c r="B3" t="s">
        <v>25</v>
      </c>
      <c r="C3">
        <v>1</v>
      </c>
      <c r="D3">
        <v>1</v>
      </c>
      <c r="E3">
        <v>0</v>
      </c>
      <c r="F3">
        <v>0</v>
      </c>
      <c r="G3">
        <v>1</v>
      </c>
      <c r="H3">
        <v>0</v>
      </c>
      <c r="I3" s="21">
        <v>0</v>
      </c>
      <c r="J3">
        <v>0</v>
      </c>
      <c r="K3" s="21">
        <v>0</v>
      </c>
      <c r="L3">
        <v>1</v>
      </c>
      <c r="M3">
        <v>0</v>
      </c>
      <c r="N3">
        <v>0</v>
      </c>
      <c r="O3">
        <v>1</v>
      </c>
      <c r="P3">
        <v>1</v>
      </c>
      <c r="Q3">
        <v>1</v>
      </c>
      <c r="R3">
        <v>1</v>
      </c>
      <c r="S3">
        <v>1</v>
      </c>
    </row>
    <row r="4" spans="1:19" x14ac:dyDescent="0.25">
      <c r="A4" s="3" t="str">
        <v xml:space="preserve">Maternal mortality  (deaths/100,000 live births) </v>
      </c>
      <c r="B4" t="s">
        <v>25</v>
      </c>
      <c r="C4">
        <v>1</v>
      </c>
      <c r="D4">
        <v>1</v>
      </c>
      <c r="E4">
        <v>0</v>
      </c>
      <c r="F4">
        <v>0</v>
      </c>
      <c r="G4">
        <v>1</v>
      </c>
      <c r="H4">
        <v>0</v>
      </c>
      <c r="I4" s="21">
        <v>0</v>
      </c>
      <c r="J4">
        <v>0</v>
      </c>
      <c r="K4" s="21">
        <v>0</v>
      </c>
      <c r="L4">
        <v>1</v>
      </c>
      <c r="M4">
        <v>0</v>
      </c>
      <c r="N4">
        <v>0</v>
      </c>
      <c r="O4">
        <v>1</v>
      </c>
      <c r="P4">
        <v>1</v>
      </c>
      <c r="Q4">
        <v>1</v>
      </c>
      <c r="R4">
        <v>1</v>
      </c>
      <c r="S4">
        <v>1</v>
      </c>
    </row>
    <row r="5" spans="1:19" x14ac:dyDescent="0.25">
      <c r="A5" s="3" t="str">
        <v xml:space="preserve">Nutritional deficiencies (% of pop.) </v>
      </c>
      <c r="B5" t="s">
        <v>18</v>
      </c>
      <c r="C5">
        <v>1</v>
      </c>
      <c r="D5">
        <v>1</v>
      </c>
      <c r="E5">
        <v>1</v>
      </c>
      <c r="F5">
        <v>1</v>
      </c>
      <c r="G5">
        <v>1</v>
      </c>
      <c r="H5">
        <v>1</v>
      </c>
      <c r="I5" s="21">
        <v>1</v>
      </c>
      <c r="J5">
        <v>1</v>
      </c>
      <c r="K5" s="21">
        <v>1</v>
      </c>
      <c r="L5">
        <v>1</v>
      </c>
      <c r="M5">
        <v>1</v>
      </c>
      <c r="N5">
        <v>0</v>
      </c>
      <c r="O5">
        <v>1</v>
      </c>
      <c r="P5">
        <v>1</v>
      </c>
      <c r="Q5">
        <v>1</v>
      </c>
      <c r="R5">
        <v>1</v>
      </c>
      <c r="S5">
        <v>1</v>
      </c>
    </row>
    <row r="6" spans="1:19" x14ac:dyDescent="0.25">
      <c r="A6" s="3" t="str">
        <v xml:space="preserve">Diet low in fruits and vegetables (0=low risk; 100=high risk) </v>
      </c>
      <c r="B6" t="s">
        <v>18</v>
      </c>
      <c r="C6">
        <v>1</v>
      </c>
      <c r="D6">
        <v>1</v>
      </c>
      <c r="E6">
        <v>0</v>
      </c>
      <c r="F6">
        <v>0</v>
      </c>
      <c r="G6">
        <v>1</v>
      </c>
      <c r="H6">
        <v>0</v>
      </c>
      <c r="I6" s="21">
        <v>0</v>
      </c>
      <c r="J6">
        <v>0</v>
      </c>
      <c r="K6" s="21">
        <v>0</v>
      </c>
      <c r="L6">
        <v>1</v>
      </c>
      <c r="M6">
        <v>0</v>
      </c>
      <c r="N6">
        <v>0</v>
      </c>
      <c r="O6">
        <v>1</v>
      </c>
      <c r="P6">
        <v>1</v>
      </c>
      <c r="Q6">
        <v>1</v>
      </c>
      <c r="R6">
        <v>1</v>
      </c>
      <c r="S6">
        <v>1</v>
      </c>
    </row>
    <row r="7" spans="1:19" x14ac:dyDescent="0.25">
      <c r="A7" s="3" t="str">
        <v xml:space="preserve">Child mortality (deaths/1,000 live births) </v>
      </c>
      <c r="B7" t="s">
        <v>25</v>
      </c>
      <c r="C7">
        <v>1</v>
      </c>
      <c r="D7">
        <v>1</v>
      </c>
      <c r="E7">
        <v>0</v>
      </c>
      <c r="F7">
        <v>0</v>
      </c>
      <c r="G7">
        <v>1</v>
      </c>
      <c r="H7">
        <v>0</v>
      </c>
      <c r="I7" s="21">
        <v>0</v>
      </c>
      <c r="J7">
        <v>0</v>
      </c>
      <c r="K7" s="21">
        <v>0</v>
      </c>
      <c r="L7">
        <v>1</v>
      </c>
      <c r="M7">
        <v>0</v>
      </c>
      <c r="N7">
        <v>0</v>
      </c>
      <c r="O7">
        <v>1</v>
      </c>
      <c r="P7">
        <v>1</v>
      </c>
      <c r="Q7">
        <v>1</v>
      </c>
      <c r="R7">
        <v>1</v>
      </c>
      <c r="S7">
        <v>1</v>
      </c>
    </row>
    <row r="8" spans="1:19" x14ac:dyDescent="0.25">
      <c r="A8" s="3" t="str">
        <v xml:space="preserve">No access to a handwashing facility (0=low risk; 100=high risk) </v>
      </c>
      <c r="B8" t="s">
        <v>22</v>
      </c>
      <c r="C8">
        <v>1</v>
      </c>
      <c r="D8">
        <v>1</v>
      </c>
      <c r="E8">
        <v>1</v>
      </c>
      <c r="F8">
        <v>1</v>
      </c>
      <c r="G8">
        <v>1</v>
      </c>
      <c r="H8">
        <v>0</v>
      </c>
      <c r="I8" s="21">
        <v>1</v>
      </c>
      <c r="J8">
        <v>1</v>
      </c>
      <c r="K8" s="21">
        <v>1</v>
      </c>
      <c r="L8">
        <v>1</v>
      </c>
      <c r="M8">
        <v>1</v>
      </c>
      <c r="N8">
        <v>0</v>
      </c>
      <c r="O8">
        <v>1</v>
      </c>
      <c r="P8">
        <v>1</v>
      </c>
      <c r="Q8">
        <v>1</v>
      </c>
      <c r="R8">
        <v>1</v>
      </c>
      <c r="S8">
        <v>1</v>
      </c>
    </row>
    <row r="9" spans="1:19" x14ac:dyDescent="0.25">
      <c r="A9" s="3" t="str">
        <v>Deaths from unsafe water, sanitation and hygiene (deaths/100,000)</v>
      </c>
      <c r="B9" t="s">
        <v>22</v>
      </c>
      <c r="C9">
        <v>1</v>
      </c>
      <c r="D9">
        <v>1</v>
      </c>
      <c r="E9">
        <v>0</v>
      </c>
      <c r="F9">
        <v>0</v>
      </c>
      <c r="G9">
        <v>1</v>
      </c>
      <c r="H9">
        <v>0</v>
      </c>
      <c r="I9" s="21">
        <v>0</v>
      </c>
      <c r="J9">
        <v>0</v>
      </c>
      <c r="K9" s="21">
        <v>0</v>
      </c>
      <c r="L9">
        <v>1</v>
      </c>
      <c r="M9">
        <v>0</v>
      </c>
      <c r="N9">
        <v>0</v>
      </c>
      <c r="O9">
        <v>1</v>
      </c>
      <c r="P9">
        <v>1</v>
      </c>
      <c r="Q9">
        <v>1</v>
      </c>
      <c r="R9">
        <v>1</v>
      </c>
      <c r="S9">
        <v>1</v>
      </c>
    </row>
    <row r="10" spans="1:19" x14ac:dyDescent="0.25">
      <c r="A10" s="3" t="str">
        <v xml:space="preserve">Improved sanitation (proportion of pop.) </v>
      </c>
      <c r="B10" t="s">
        <v>24</v>
      </c>
      <c r="C10">
        <v>1</v>
      </c>
      <c r="D10">
        <v>1</v>
      </c>
      <c r="E10">
        <v>0</v>
      </c>
      <c r="F10">
        <v>1</v>
      </c>
      <c r="G10">
        <v>1</v>
      </c>
      <c r="H10">
        <v>0</v>
      </c>
      <c r="I10" s="21">
        <v>0</v>
      </c>
      <c r="J10">
        <v>1</v>
      </c>
      <c r="K10" s="21">
        <v>0</v>
      </c>
      <c r="L10">
        <v>1</v>
      </c>
      <c r="M10">
        <v>1</v>
      </c>
      <c r="N10">
        <v>0</v>
      </c>
      <c r="O10">
        <v>1</v>
      </c>
      <c r="P10">
        <v>1</v>
      </c>
      <c r="Q10">
        <v>1</v>
      </c>
      <c r="R10">
        <v>1</v>
      </c>
      <c r="S10">
        <v>1</v>
      </c>
    </row>
    <row r="11" spans="1:19" x14ac:dyDescent="0.25">
      <c r="A11" s="3" t="str">
        <v xml:space="preserve">Improved water source (proportion of pop.) </v>
      </c>
      <c r="B11" t="s">
        <v>22</v>
      </c>
      <c r="C11">
        <v>1</v>
      </c>
      <c r="D11">
        <v>1</v>
      </c>
      <c r="E11">
        <v>0</v>
      </c>
      <c r="F11">
        <v>1</v>
      </c>
      <c r="G11">
        <v>1</v>
      </c>
      <c r="H11">
        <v>0</v>
      </c>
      <c r="I11" s="21">
        <v>0</v>
      </c>
      <c r="J11">
        <v>1</v>
      </c>
      <c r="K11" s="21">
        <v>0</v>
      </c>
      <c r="L11">
        <v>1</v>
      </c>
      <c r="M11">
        <v>1</v>
      </c>
      <c r="N11">
        <v>0</v>
      </c>
      <c r="O11">
        <v>1</v>
      </c>
      <c r="P11">
        <v>1</v>
      </c>
      <c r="Q11">
        <v>1</v>
      </c>
      <c r="R11">
        <v>1</v>
      </c>
      <c r="S11">
        <v>1</v>
      </c>
    </row>
    <row r="12" spans="1:19" x14ac:dyDescent="0.25">
      <c r="A12" s="2" t="str">
        <v>Deaths from household air pollution (deaths/100,000)</v>
      </c>
      <c r="B12" t="s">
        <v>21</v>
      </c>
      <c r="C12">
        <v>1</v>
      </c>
      <c r="D12">
        <v>1</v>
      </c>
      <c r="E12">
        <v>0</v>
      </c>
      <c r="F12">
        <v>0</v>
      </c>
      <c r="G12">
        <v>1</v>
      </c>
      <c r="H12">
        <v>0</v>
      </c>
      <c r="I12" s="21">
        <v>0</v>
      </c>
      <c r="J12">
        <v>0</v>
      </c>
      <c r="K12" s="21">
        <v>0</v>
      </c>
      <c r="L12">
        <v>1</v>
      </c>
      <c r="M12">
        <v>0</v>
      </c>
      <c r="N12">
        <v>0</v>
      </c>
      <c r="O12">
        <v>1</v>
      </c>
      <c r="P12">
        <v>1</v>
      </c>
      <c r="Q12">
        <v>0</v>
      </c>
      <c r="R12">
        <v>1</v>
      </c>
      <c r="S12">
        <v>1</v>
      </c>
    </row>
    <row r="13" spans="1:19" x14ac:dyDescent="0.25">
      <c r="A13" s="2" t="str">
        <v xml:space="preserve">Prevalence of cooking with coal/biomass (proportion of pop.) </v>
      </c>
      <c r="B13" t="s">
        <v>21</v>
      </c>
      <c r="C13">
        <v>1</v>
      </c>
      <c r="D13">
        <v>1</v>
      </c>
      <c r="E13">
        <v>1</v>
      </c>
      <c r="F13">
        <v>1</v>
      </c>
      <c r="G13">
        <v>1</v>
      </c>
      <c r="H13">
        <v>1</v>
      </c>
      <c r="I13" s="21">
        <v>1</v>
      </c>
      <c r="J13">
        <v>1</v>
      </c>
      <c r="K13" s="21">
        <v>1</v>
      </c>
      <c r="L13">
        <v>1</v>
      </c>
      <c r="M13">
        <v>1</v>
      </c>
      <c r="N13">
        <v>0</v>
      </c>
      <c r="O13">
        <v>1</v>
      </c>
      <c r="P13">
        <v>1</v>
      </c>
      <c r="Q13">
        <v>0</v>
      </c>
      <c r="R13">
        <v>1</v>
      </c>
      <c r="S13">
        <v>1</v>
      </c>
    </row>
    <row r="14" spans="1:19" x14ac:dyDescent="0.25">
      <c r="A14" s="2" t="str">
        <v xml:space="preserve">Access to electricity (% of pop.) </v>
      </c>
      <c r="B14" t="s">
        <v>20</v>
      </c>
      <c r="C14">
        <v>1</v>
      </c>
      <c r="D14">
        <v>1</v>
      </c>
      <c r="E14">
        <v>1</v>
      </c>
      <c r="F14">
        <v>1</v>
      </c>
      <c r="G14">
        <v>1</v>
      </c>
      <c r="H14">
        <v>1</v>
      </c>
      <c r="I14" s="21">
        <v>1</v>
      </c>
      <c r="J14">
        <v>1</v>
      </c>
      <c r="K14" s="21">
        <v>1</v>
      </c>
      <c r="L14">
        <v>1</v>
      </c>
      <c r="M14">
        <v>1</v>
      </c>
      <c r="N14">
        <v>0</v>
      </c>
      <c r="O14">
        <v>1</v>
      </c>
      <c r="P14">
        <v>1</v>
      </c>
      <c r="Q14">
        <v>0</v>
      </c>
      <c r="R14">
        <v>1</v>
      </c>
      <c r="S14">
        <v>1</v>
      </c>
    </row>
    <row r="15" spans="1:19" x14ac:dyDescent="0.25">
      <c r="A15" s="2" t="str">
        <v>Deaths from road injuries (deaths/100,000)</v>
      </c>
      <c r="B15" t="s">
        <v>36</v>
      </c>
      <c r="C15">
        <v>1</v>
      </c>
      <c r="D15">
        <v>1</v>
      </c>
      <c r="E15">
        <v>0</v>
      </c>
      <c r="F15">
        <v>0</v>
      </c>
      <c r="G15">
        <v>0</v>
      </c>
      <c r="H15">
        <v>0</v>
      </c>
      <c r="I15" s="21">
        <v>0</v>
      </c>
      <c r="J15">
        <v>0</v>
      </c>
      <c r="K15" s="21">
        <v>0</v>
      </c>
      <c r="L15">
        <v>0</v>
      </c>
      <c r="M15">
        <v>0</v>
      </c>
      <c r="N15">
        <v>0</v>
      </c>
      <c r="O15">
        <v>1</v>
      </c>
      <c r="P15">
        <v>0</v>
      </c>
      <c r="Q15">
        <v>0</v>
      </c>
      <c r="R15">
        <v>0</v>
      </c>
      <c r="S15">
        <v>1</v>
      </c>
    </row>
    <row r="16" spans="1:19" x14ac:dyDescent="0.25">
      <c r="A16" s="2" t="str">
        <v xml:space="preserve">Political violence (0=no violence; 4=violence often) </v>
      </c>
      <c r="B16" t="s">
        <v>36</v>
      </c>
      <c r="C16">
        <v>1</v>
      </c>
      <c r="D16">
        <v>1</v>
      </c>
      <c r="E16">
        <v>0</v>
      </c>
      <c r="F16">
        <v>0</v>
      </c>
      <c r="G16">
        <v>0</v>
      </c>
      <c r="H16">
        <v>0</v>
      </c>
      <c r="I16" s="21">
        <v>0</v>
      </c>
      <c r="J16">
        <v>0</v>
      </c>
      <c r="K16" s="21">
        <v>0</v>
      </c>
      <c r="L16">
        <v>0</v>
      </c>
      <c r="M16">
        <v>0</v>
      </c>
      <c r="N16">
        <v>0</v>
      </c>
      <c r="O16">
        <v>1</v>
      </c>
      <c r="P16">
        <v>0</v>
      </c>
      <c r="Q16">
        <v>0</v>
      </c>
      <c r="R16">
        <v>0</v>
      </c>
      <c r="S16">
        <v>1</v>
      </c>
    </row>
    <row r="17" spans="1:19" x14ac:dyDescent="0.25">
      <c r="A17" s="2" t="str">
        <v>Political killings and torture (0=low freedom; 1=high freedom)</v>
      </c>
      <c r="B17" t="s">
        <v>36</v>
      </c>
      <c r="C17">
        <v>1</v>
      </c>
      <c r="D17">
        <v>1</v>
      </c>
      <c r="E17">
        <v>0</v>
      </c>
      <c r="F17">
        <v>0</v>
      </c>
      <c r="G17">
        <v>0</v>
      </c>
      <c r="H17">
        <v>0</v>
      </c>
      <c r="I17" s="21">
        <v>0</v>
      </c>
      <c r="J17">
        <v>0</v>
      </c>
      <c r="K17" s="21">
        <v>0</v>
      </c>
      <c r="L17">
        <v>0</v>
      </c>
      <c r="M17">
        <v>0</v>
      </c>
      <c r="N17">
        <v>0</v>
      </c>
      <c r="O17">
        <v>1</v>
      </c>
      <c r="P17">
        <v>0</v>
      </c>
      <c r="Q17">
        <v>0</v>
      </c>
      <c r="R17">
        <v>0</v>
      </c>
      <c r="S17">
        <v>1</v>
      </c>
    </row>
    <row r="18" spans="1:19" x14ac:dyDescent="0.25">
      <c r="A18" s="2" t="str">
        <v xml:space="preserve">Intimate partner violence against women (% of women aged 15+) </v>
      </c>
      <c r="B18" t="s">
        <v>36</v>
      </c>
      <c r="C18">
        <v>1</v>
      </c>
      <c r="D18">
        <v>1</v>
      </c>
      <c r="E18">
        <v>0</v>
      </c>
      <c r="F18">
        <v>0</v>
      </c>
      <c r="G18">
        <v>0</v>
      </c>
      <c r="H18">
        <v>0</v>
      </c>
      <c r="I18" s="21">
        <v>0</v>
      </c>
      <c r="J18">
        <v>0</v>
      </c>
      <c r="K18" s="21">
        <v>0</v>
      </c>
      <c r="L18">
        <v>0</v>
      </c>
      <c r="M18">
        <v>0</v>
      </c>
      <c r="N18">
        <v>0</v>
      </c>
      <c r="O18">
        <v>1</v>
      </c>
      <c r="P18">
        <v>0</v>
      </c>
      <c r="Q18">
        <v>0</v>
      </c>
      <c r="R18">
        <v>0</v>
      </c>
      <c r="S18">
        <v>1</v>
      </c>
    </row>
    <row r="19" spans="1:19" x14ac:dyDescent="0.25">
      <c r="A19" s="2" t="str">
        <v>Interpersonal violence  (deaths/100,000)</v>
      </c>
      <c r="B19" t="s">
        <v>36</v>
      </c>
      <c r="C19">
        <v>1</v>
      </c>
      <c r="D19">
        <v>1</v>
      </c>
      <c r="E19">
        <v>0</v>
      </c>
      <c r="F19">
        <v>0</v>
      </c>
      <c r="G19">
        <v>0</v>
      </c>
      <c r="H19">
        <v>0</v>
      </c>
      <c r="I19" s="21">
        <v>0</v>
      </c>
      <c r="J19">
        <v>0</v>
      </c>
      <c r="K19" s="21">
        <v>0</v>
      </c>
      <c r="L19">
        <v>0</v>
      </c>
      <c r="M19">
        <v>0</v>
      </c>
      <c r="N19">
        <v>0</v>
      </c>
      <c r="O19">
        <v>1</v>
      </c>
      <c r="P19">
        <v>0</v>
      </c>
      <c r="Q19">
        <v>0</v>
      </c>
      <c r="R19">
        <v>0</v>
      </c>
      <c r="S19">
        <v>1</v>
      </c>
    </row>
    <row r="20" spans="1:19" x14ac:dyDescent="0.25">
      <c r="A20" s="2" t="str">
        <v xml:space="preserve">Population with no education (proportion of pop.) </v>
      </c>
      <c r="B20" t="s">
        <v>23</v>
      </c>
      <c r="C20">
        <v>1</v>
      </c>
      <c r="D20">
        <v>1</v>
      </c>
      <c r="E20">
        <v>0</v>
      </c>
      <c r="F20">
        <v>0</v>
      </c>
      <c r="G20">
        <v>1</v>
      </c>
      <c r="H20">
        <v>1</v>
      </c>
      <c r="I20" s="21">
        <v>0</v>
      </c>
      <c r="J20">
        <v>0</v>
      </c>
      <c r="K20" s="21">
        <v>0</v>
      </c>
      <c r="L20">
        <v>1</v>
      </c>
      <c r="M20">
        <v>0</v>
      </c>
      <c r="N20">
        <v>0</v>
      </c>
      <c r="O20">
        <v>1</v>
      </c>
      <c r="P20">
        <v>1</v>
      </c>
      <c r="Q20">
        <v>0</v>
      </c>
      <c r="R20">
        <v>1</v>
      </c>
      <c r="S20">
        <v>1</v>
      </c>
    </row>
    <row r="21" spans="1:19" x14ac:dyDescent="0.25">
      <c r="A21" s="2" t="str">
        <v xml:space="preserve">Gender parity in basic education (distance from parity) </v>
      </c>
      <c r="B21" t="s">
        <v>23</v>
      </c>
      <c r="C21">
        <v>1</v>
      </c>
      <c r="D21">
        <v>1</v>
      </c>
      <c r="E21">
        <v>0</v>
      </c>
      <c r="F21">
        <v>0</v>
      </c>
      <c r="G21">
        <v>1</v>
      </c>
      <c r="H21">
        <v>0</v>
      </c>
      <c r="I21" s="21">
        <v>0</v>
      </c>
      <c r="J21">
        <v>0</v>
      </c>
      <c r="K21" s="21">
        <v>0</v>
      </c>
      <c r="L21">
        <v>1</v>
      </c>
      <c r="M21">
        <v>0</v>
      </c>
      <c r="N21">
        <v>0</v>
      </c>
      <c r="O21">
        <v>1</v>
      </c>
      <c r="P21">
        <v>1</v>
      </c>
      <c r="Q21">
        <v>0</v>
      </c>
      <c r="R21">
        <v>1</v>
      </c>
      <c r="S21">
        <v>1</v>
      </c>
    </row>
    <row r="22" spans="1:19" x14ac:dyDescent="0.25">
      <c r="A22" s="2" t="str">
        <v xml:space="preserve">Equal access to quality education (0=unequal; 4=equal) </v>
      </c>
      <c r="B22" t="s">
        <v>23</v>
      </c>
      <c r="C22">
        <v>1</v>
      </c>
      <c r="D22">
        <v>1</v>
      </c>
      <c r="E22">
        <v>0</v>
      </c>
      <c r="F22">
        <v>0</v>
      </c>
      <c r="G22">
        <v>1</v>
      </c>
      <c r="H22">
        <v>0</v>
      </c>
      <c r="I22" s="21">
        <v>0</v>
      </c>
      <c r="J22">
        <v>0</v>
      </c>
      <c r="K22" s="21">
        <v>0</v>
      </c>
      <c r="L22">
        <v>1</v>
      </c>
      <c r="M22">
        <v>0</v>
      </c>
      <c r="N22">
        <v>0</v>
      </c>
      <c r="O22">
        <v>1</v>
      </c>
      <c r="P22">
        <v>1</v>
      </c>
      <c r="Q22">
        <v>0</v>
      </c>
      <c r="R22">
        <v>1</v>
      </c>
      <c r="S22">
        <v>1</v>
      </c>
    </row>
    <row r="23" spans="1:19" x14ac:dyDescent="0.25">
      <c r="A23" s="2" t="str">
        <v>Mean years of schooling (years)</v>
      </c>
      <c r="B23" t="s">
        <v>23</v>
      </c>
      <c r="C23">
        <v>1</v>
      </c>
      <c r="D23">
        <v>1</v>
      </c>
      <c r="E23">
        <v>0</v>
      </c>
      <c r="F23">
        <v>1</v>
      </c>
      <c r="G23">
        <v>1</v>
      </c>
      <c r="H23">
        <v>0</v>
      </c>
      <c r="I23" s="21">
        <v>0</v>
      </c>
      <c r="J23">
        <v>1</v>
      </c>
      <c r="K23" s="21">
        <v>1</v>
      </c>
      <c r="L23">
        <v>1</v>
      </c>
      <c r="M23">
        <v>0</v>
      </c>
      <c r="N23">
        <v>0</v>
      </c>
      <c r="O23">
        <v>1</v>
      </c>
      <c r="P23">
        <v>1</v>
      </c>
      <c r="Q23">
        <v>0</v>
      </c>
      <c r="R23">
        <v>1</v>
      </c>
      <c r="S23">
        <v>1</v>
      </c>
    </row>
    <row r="24" spans="1:19" x14ac:dyDescent="0.25">
      <c r="A24" s="2" t="str">
        <v>Alternative sources of information (0=low; 1=high)</v>
      </c>
      <c r="B24" t="s">
        <v>26</v>
      </c>
      <c r="C24">
        <v>1</v>
      </c>
      <c r="D24">
        <v>1</v>
      </c>
      <c r="E24">
        <v>0</v>
      </c>
      <c r="F24">
        <v>0</v>
      </c>
      <c r="G24">
        <v>1</v>
      </c>
      <c r="H24">
        <v>0</v>
      </c>
      <c r="I24" s="21">
        <v>0</v>
      </c>
      <c r="J24">
        <v>0</v>
      </c>
      <c r="K24" s="21">
        <v>0</v>
      </c>
      <c r="L24">
        <v>1</v>
      </c>
      <c r="M24">
        <v>0</v>
      </c>
      <c r="N24">
        <v>0</v>
      </c>
      <c r="O24">
        <v>1</v>
      </c>
      <c r="P24">
        <v>1</v>
      </c>
      <c r="Q24">
        <v>0</v>
      </c>
      <c r="R24">
        <v>1</v>
      </c>
      <c r="S24">
        <v>1</v>
      </c>
    </row>
    <row r="25" spans="1:19" x14ac:dyDescent="0.25">
      <c r="A25" s="2" t="str">
        <v xml:space="preserve">Internet users (% of pop.) </v>
      </c>
      <c r="B25" t="s">
        <v>26</v>
      </c>
      <c r="C25">
        <v>1</v>
      </c>
      <c r="D25">
        <v>1</v>
      </c>
      <c r="E25">
        <v>1</v>
      </c>
      <c r="F25">
        <v>1</v>
      </c>
      <c r="G25">
        <v>1</v>
      </c>
      <c r="H25">
        <v>1</v>
      </c>
      <c r="I25" s="21">
        <v>1</v>
      </c>
      <c r="J25">
        <v>1</v>
      </c>
      <c r="K25" s="21">
        <v>1</v>
      </c>
      <c r="L25">
        <v>1</v>
      </c>
      <c r="M25">
        <v>1</v>
      </c>
      <c r="N25">
        <v>0</v>
      </c>
      <c r="O25">
        <v>1</v>
      </c>
      <c r="P25">
        <v>1</v>
      </c>
      <c r="Q25">
        <v>0</v>
      </c>
      <c r="R25">
        <v>1</v>
      </c>
      <c r="S25">
        <v>1</v>
      </c>
    </row>
    <row r="26" spans="1:19" x14ac:dyDescent="0.25">
      <c r="A26" s="2" t="str">
        <v xml:space="preserve">Mobile and landline telephone subscriptions (subscriptions/100 people) </v>
      </c>
      <c r="B26" t="s">
        <v>26</v>
      </c>
      <c r="C26">
        <v>1</v>
      </c>
      <c r="D26">
        <v>1</v>
      </c>
      <c r="E26">
        <v>1</v>
      </c>
      <c r="F26">
        <v>1</v>
      </c>
      <c r="G26">
        <v>1</v>
      </c>
      <c r="H26">
        <v>1</v>
      </c>
      <c r="I26" s="21">
        <v>1</v>
      </c>
      <c r="J26">
        <v>1</v>
      </c>
      <c r="K26" s="21">
        <v>1</v>
      </c>
      <c r="L26">
        <v>1</v>
      </c>
      <c r="M26">
        <v>1</v>
      </c>
      <c r="N26">
        <v>0</v>
      </c>
      <c r="O26">
        <v>1</v>
      </c>
      <c r="P26">
        <v>1</v>
      </c>
      <c r="Q26">
        <v>0</v>
      </c>
      <c r="R26">
        <v>1</v>
      </c>
      <c r="S26">
        <v>1</v>
      </c>
    </row>
    <row r="27" spans="1:19" x14ac:dyDescent="0.25">
      <c r="A27" s="2" t="str">
        <v>Life expectancy at 60 (years)</v>
      </c>
      <c r="B27" t="s">
        <v>25</v>
      </c>
      <c r="C27">
        <v>1</v>
      </c>
      <c r="D27">
        <v>1</v>
      </c>
      <c r="E27">
        <v>0</v>
      </c>
      <c r="F27">
        <v>0</v>
      </c>
      <c r="G27">
        <v>1</v>
      </c>
      <c r="H27">
        <v>0</v>
      </c>
      <c r="I27" s="21">
        <v>0</v>
      </c>
      <c r="J27">
        <v>0</v>
      </c>
      <c r="K27" s="21">
        <v>0</v>
      </c>
      <c r="L27">
        <v>1</v>
      </c>
      <c r="M27">
        <v>0</v>
      </c>
      <c r="N27">
        <v>0</v>
      </c>
      <c r="O27">
        <v>1</v>
      </c>
      <c r="P27">
        <v>1</v>
      </c>
      <c r="Q27">
        <v>0</v>
      </c>
      <c r="R27">
        <v>1</v>
      </c>
      <c r="S27">
        <v>1</v>
      </c>
    </row>
    <row r="28" spans="1:19" x14ac:dyDescent="0.25">
      <c r="A28" s="2" t="str">
        <v>Premature deaths from non-communicable diseases (deaths/100,000)</v>
      </c>
      <c r="B28" t="s">
        <v>25</v>
      </c>
      <c r="C28">
        <v>1</v>
      </c>
      <c r="D28">
        <v>1</v>
      </c>
      <c r="E28">
        <v>0</v>
      </c>
      <c r="F28">
        <v>0</v>
      </c>
      <c r="G28">
        <v>1</v>
      </c>
      <c r="H28">
        <v>0</v>
      </c>
      <c r="I28" s="21">
        <v>0</v>
      </c>
      <c r="J28">
        <v>0</v>
      </c>
      <c r="K28" s="21">
        <v>0</v>
      </c>
      <c r="L28">
        <v>1</v>
      </c>
      <c r="M28">
        <v>0</v>
      </c>
      <c r="N28">
        <v>0</v>
      </c>
      <c r="O28">
        <v>1</v>
      </c>
      <c r="P28">
        <v>1</v>
      </c>
      <c r="Q28">
        <v>0</v>
      </c>
      <c r="R28">
        <v>1</v>
      </c>
      <c r="S28">
        <v>1</v>
      </c>
    </row>
    <row r="29" spans="1:19" x14ac:dyDescent="0.25">
      <c r="A29" s="2" t="str">
        <v xml:space="preserve">Equal access to quality healthcare (0=unequal; 4=equal) </v>
      </c>
      <c r="B29" t="s">
        <v>25</v>
      </c>
      <c r="C29">
        <v>1</v>
      </c>
      <c r="D29">
        <v>1</v>
      </c>
      <c r="E29">
        <v>0</v>
      </c>
      <c r="F29">
        <v>0</v>
      </c>
      <c r="G29">
        <v>1</v>
      </c>
      <c r="H29">
        <v>0</v>
      </c>
      <c r="I29" s="21">
        <v>0</v>
      </c>
      <c r="J29">
        <v>0</v>
      </c>
      <c r="K29" s="21">
        <v>0</v>
      </c>
      <c r="L29">
        <v>1</v>
      </c>
      <c r="M29">
        <v>0</v>
      </c>
      <c r="N29">
        <v>0</v>
      </c>
      <c r="O29">
        <v>1</v>
      </c>
      <c r="P29">
        <v>1</v>
      </c>
      <c r="Q29">
        <v>0</v>
      </c>
      <c r="R29">
        <v>1</v>
      </c>
      <c r="S29">
        <v>1</v>
      </c>
    </row>
    <row r="30" spans="1:19" x14ac:dyDescent="0.25">
      <c r="A30" s="2" t="str">
        <v xml:space="preserve">Universal health coverage (% of pop.) </v>
      </c>
      <c r="B30" t="s">
        <v>25</v>
      </c>
      <c r="C30">
        <v>1</v>
      </c>
      <c r="D30">
        <v>1</v>
      </c>
      <c r="E30">
        <v>1</v>
      </c>
      <c r="F30">
        <v>1</v>
      </c>
      <c r="G30">
        <v>1</v>
      </c>
      <c r="H30">
        <v>1</v>
      </c>
      <c r="I30" s="21">
        <v>1</v>
      </c>
      <c r="J30">
        <v>1</v>
      </c>
      <c r="K30" s="21">
        <v>1</v>
      </c>
      <c r="L30">
        <v>1</v>
      </c>
      <c r="M30">
        <v>1</v>
      </c>
      <c r="N30">
        <v>0</v>
      </c>
      <c r="O30">
        <v>1</v>
      </c>
      <c r="P30">
        <v>1</v>
      </c>
      <c r="Q30">
        <v>0</v>
      </c>
      <c r="R30">
        <v>1</v>
      </c>
      <c r="S30">
        <v>1</v>
      </c>
    </row>
    <row r="31" spans="1:19" x14ac:dyDescent="0.25">
      <c r="A31" s="2" t="str">
        <v>Deaths from outdoor air pollution (deaths/100,000)</v>
      </c>
      <c r="B31" t="s">
        <v>36</v>
      </c>
      <c r="C31">
        <v>1</v>
      </c>
      <c r="D31">
        <v>1</v>
      </c>
      <c r="E31">
        <v>0</v>
      </c>
      <c r="F31">
        <v>0</v>
      </c>
      <c r="G31">
        <v>0</v>
      </c>
      <c r="H31">
        <v>0</v>
      </c>
      <c r="I31" s="21">
        <v>0</v>
      </c>
      <c r="J31">
        <v>0</v>
      </c>
      <c r="K31" s="21">
        <v>0</v>
      </c>
      <c r="L31">
        <v>0</v>
      </c>
      <c r="M31">
        <v>0</v>
      </c>
      <c r="N31">
        <v>0</v>
      </c>
      <c r="O31">
        <v>1</v>
      </c>
      <c r="P31">
        <v>0</v>
      </c>
      <c r="Q31">
        <v>0</v>
      </c>
      <c r="R31">
        <v>0</v>
      </c>
      <c r="S31">
        <v>1</v>
      </c>
    </row>
    <row r="32" spans="1:19" x14ac:dyDescent="0.25">
      <c r="A32" s="2" t="str">
        <v>Particulate matter (2.5) pollution (mean annual exposure, µg/m3)</v>
      </c>
      <c r="B32" t="s">
        <v>36</v>
      </c>
      <c r="C32">
        <v>1</v>
      </c>
      <c r="D32">
        <v>1</v>
      </c>
      <c r="E32">
        <v>0</v>
      </c>
      <c r="F32">
        <v>0</v>
      </c>
      <c r="G32">
        <v>0</v>
      </c>
      <c r="H32">
        <v>0</v>
      </c>
      <c r="I32" s="21">
        <v>0</v>
      </c>
      <c r="J32">
        <v>0</v>
      </c>
      <c r="K32" s="21">
        <v>0</v>
      </c>
      <c r="L32">
        <v>0</v>
      </c>
      <c r="M32">
        <v>0</v>
      </c>
      <c r="N32">
        <v>0</v>
      </c>
      <c r="O32">
        <v>1</v>
      </c>
      <c r="P32">
        <v>0</v>
      </c>
      <c r="Q32">
        <v>0</v>
      </c>
      <c r="R32">
        <v>0</v>
      </c>
      <c r="S32">
        <v>1</v>
      </c>
    </row>
    <row r="33" spans="1:19" x14ac:dyDescent="0.25">
      <c r="A33" s="2" t="str">
        <v>Deaths from lead exposure (deaths/100,000)</v>
      </c>
      <c r="B33" t="s">
        <v>36</v>
      </c>
      <c r="C33">
        <v>1</v>
      </c>
      <c r="D33">
        <v>1</v>
      </c>
      <c r="E33">
        <v>0</v>
      </c>
      <c r="F33">
        <v>0</v>
      </c>
      <c r="G33">
        <v>0</v>
      </c>
      <c r="H33">
        <v>0</v>
      </c>
      <c r="I33" s="21">
        <v>0</v>
      </c>
      <c r="J33">
        <v>0</v>
      </c>
      <c r="K33" s="21">
        <v>0</v>
      </c>
      <c r="L33">
        <v>0</v>
      </c>
      <c r="M33">
        <v>0</v>
      </c>
      <c r="N33">
        <v>0</v>
      </c>
      <c r="O33">
        <v>1</v>
      </c>
      <c r="P33">
        <v>0</v>
      </c>
      <c r="Q33">
        <v>0</v>
      </c>
      <c r="R33">
        <v>0</v>
      </c>
      <c r="S33">
        <v>1</v>
      </c>
    </row>
    <row r="34" spans="1:19" x14ac:dyDescent="0.25">
      <c r="A34" s="2" t="str">
        <v>Species protection (0=low; 100=high)</v>
      </c>
      <c r="B34" t="s">
        <v>36</v>
      </c>
      <c r="C34">
        <v>1</v>
      </c>
      <c r="D34">
        <v>1</v>
      </c>
      <c r="E34">
        <v>0</v>
      </c>
      <c r="F34">
        <v>0</v>
      </c>
      <c r="G34">
        <v>0</v>
      </c>
      <c r="H34">
        <v>0</v>
      </c>
      <c r="I34" s="21">
        <v>0</v>
      </c>
      <c r="J34">
        <v>0</v>
      </c>
      <c r="K34" s="21">
        <v>0</v>
      </c>
      <c r="L34">
        <v>0</v>
      </c>
      <c r="M34">
        <v>0</v>
      </c>
      <c r="N34">
        <v>0</v>
      </c>
      <c r="O34">
        <v>1</v>
      </c>
      <c r="P34">
        <v>0</v>
      </c>
      <c r="Q34">
        <v>0</v>
      </c>
      <c r="R34">
        <v>0</v>
      </c>
      <c r="S34">
        <v>1</v>
      </c>
    </row>
    <row r="35" spans="1:19" x14ac:dyDescent="0.25">
      <c r="A35" s="4" t="str">
        <v xml:space="preserve">Freedom of religion (0=no freedom; 4=full freedom) </v>
      </c>
      <c r="B35" t="s">
        <v>36</v>
      </c>
      <c r="C35">
        <v>0</v>
      </c>
      <c r="D35">
        <v>0</v>
      </c>
      <c r="E35">
        <v>0</v>
      </c>
      <c r="F35">
        <v>0</v>
      </c>
      <c r="G35">
        <v>0</v>
      </c>
      <c r="H35">
        <v>0</v>
      </c>
      <c r="I35" s="21">
        <v>0</v>
      </c>
      <c r="J35">
        <v>0</v>
      </c>
      <c r="K35" s="21">
        <v>0</v>
      </c>
      <c r="L35">
        <v>0</v>
      </c>
      <c r="M35">
        <v>0</v>
      </c>
      <c r="N35">
        <v>1</v>
      </c>
      <c r="O35">
        <v>1</v>
      </c>
      <c r="P35">
        <v>0</v>
      </c>
      <c r="Q35">
        <v>0</v>
      </c>
      <c r="R35">
        <v>0</v>
      </c>
      <c r="S35">
        <v>1</v>
      </c>
    </row>
    <row r="36" spans="1:19" x14ac:dyDescent="0.25">
      <c r="A36" s="4" t="str">
        <v xml:space="preserve">Property rights for women (0=no rights; 5=full rights) </v>
      </c>
      <c r="B36" t="s">
        <v>36</v>
      </c>
      <c r="C36">
        <v>0</v>
      </c>
      <c r="D36">
        <v>0</v>
      </c>
      <c r="E36">
        <v>0</v>
      </c>
      <c r="F36">
        <v>0</v>
      </c>
      <c r="G36">
        <v>0</v>
      </c>
      <c r="H36">
        <v>0</v>
      </c>
      <c r="I36" s="21">
        <v>0</v>
      </c>
      <c r="J36">
        <v>0</v>
      </c>
      <c r="K36" s="21">
        <v>0</v>
      </c>
      <c r="L36">
        <v>0</v>
      </c>
      <c r="M36">
        <v>0</v>
      </c>
      <c r="N36">
        <v>1</v>
      </c>
      <c r="O36">
        <v>1</v>
      </c>
      <c r="P36">
        <v>0</v>
      </c>
      <c r="Q36">
        <v>0</v>
      </c>
      <c r="R36">
        <v>0</v>
      </c>
      <c r="S36">
        <v>1</v>
      </c>
    </row>
    <row r="37" spans="1:19" x14ac:dyDescent="0.25">
      <c r="A37" s="4" t="str">
        <v xml:space="preserve">Freedom of assembly (0=no freedom; 4=full freedom) </v>
      </c>
      <c r="B37" t="s">
        <v>36</v>
      </c>
      <c r="C37">
        <v>0</v>
      </c>
      <c r="D37">
        <v>0</v>
      </c>
      <c r="E37">
        <v>0</v>
      </c>
      <c r="F37">
        <v>0</v>
      </c>
      <c r="G37">
        <v>0</v>
      </c>
      <c r="H37">
        <v>0</v>
      </c>
      <c r="I37" s="21">
        <v>0</v>
      </c>
      <c r="J37">
        <v>0</v>
      </c>
      <c r="K37" s="21">
        <v>0</v>
      </c>
      <c r="L37">
        <v>0</v>
      </c>
      <c r="M37">
        <v>0</v>
      </c>
      <c r="N37">
        <v>1</v>
      </c>
      <c r="O37">
        <v>1</v>
      </c>
      <c r="P37">
        <v>0</v>
      </c>
      <c r="Q37">
        <v>0</v>
      </c>
      <c r="R37">
        <v>0</v>
      </c>
      <c r="S37">
        <v>1</v>
      </c>
    </row>
    <row r="38" spans="1:19" x14ac:dyDescent="0.25">
      <c r="A38" s="4" t="str">
        <v>Access to justice (0=nonexistent; 1=observed)</v>
      </c>
      <c r="B38" t="s">
        <v>36</v>
      </c>
      <c r="C38">
        <v>0</v>
      </c>
      <c r="D38">
        <v>0</v>
      </c>
      <c r="E38">
        <v>0</v>
      </c>
      <c r="F38">
        <v>0</v>
      </c>
      <c r="G38">
        <v>0</v>
      </c>
      <c r="H38">
        <v>0</v>
      </c>
      <c r="I38" s="21">
        <v>0</v>
      </c>
      <c r="J38">
        <v>0</v>
      </c>
      <c r="K38" s="21">
        <v>0</v>
      </c>
      <c r="L38">
        <v>0</v>
      </c>
      <c r="M38">
        <v>0</v>
      </c>
      <c r="N38">
        <v>1</v>
      </c>
      <c r="O38">
        <v>1</v>
      </c>
      <c r="P38">
        <v>0</v>
      </c>
      <c r="Q38">
        <v>0</v>
      </c>
      <c r="R38">
        <v>0</v>
      </c>
      <c r="S38">
        <v>1</v>
      </c>
    </row>
    <row r="39" spans="1:19" x14ac:dyDescent="0.25">
      <c r="A39" s="4" t="str">
        <v>Freedom of discussion (0=low; 1=high)</v>
      </c>
      <c r="B39" t="s">
        <v>36</v>
      </c>
      <c r="C39">
        <v>0</v>
      </c>
      <c r="D39">
        <v>0</v>
      </c>
      <c r="E39">
        <v>0</v>
      </c>
      <c r="F39">
        <v>0</v>
      </c>
      <c r="G39">
        <v>0</v>
      </c>
      <c r="H39">
        <v>0</v>
      </c>
      <c r="I39" s="21">
        <v>0</v>
      </c>
      <c r="J39">
        <v>0</v>
      </c>
      <c r="K39" s="21">
        <v>0</v>
      </c>
      <c r="L39">
        <v>0</v>
      </c>
      <c r="M39">
        <v>0</v>
      </c>
      <c r="N39">
        <v>1</v>
      </c>
      <c r="O39">
        <v>1</v>
      </c>
      <c r="P39">
        <v>0</v>
      </c>
      <c r="Q39">
        <v>0</v>
      </c>
      <c r="R39">
        <v>0</v>
      </c>
      <c r="S39">
        <v>1</v>
      </c>
    </row>
    <row r="40" spans="1:19" x14ac:dyDescent="0.25">
      <c r="A40" s="4" t="str">
        <v>Political rights (1=full rights; 7=no rights)</v>
      </c>
      <c r="B40" t="s">
        <v>36</v>
      </c>
      <c r="C40">
        <v>0</v>
      </c>
      <c r="D40">
        <v>0</v>
      </c>
      <c r="E40">
        <v>0</v>
      </c>
      <c r="F40">
        <v>0</v>
      </c>
      <c r="G40">
        <v>0</v>
      </c>
      <c r="H40">
        <v>0</v>
      </c>
      <c r="I40" s="21">
        <v>0</v>
      </c>
      <c r="J40">
        <v>0</v>
      </c>
      <c r="K40" s="21">
        <v>0</v>
      </c>
      <c r="L40">
        <v>0</v>
      </c>
      <c r="M40">
        <v>0</v>
      </c>
      <c r="N40">
        <v>1</v>
      </c>
      <c r="O40">
        <v>1</v>
      </c>
      <c r="P40">
        <v>0</v>
      </c>
      <c r="Q40">
        <v>0</v>
      </c>
      <c r="R40">
        <v>0</v>
      </c>
      <c r="S40">
        <v>1</v>
      </c>
    </row>
    <row r="41" spans="1:19" x14ac:dyDescent="0.25">
      <c r="A41" s="4" t="str">
        <v>Public sector corruption (0=low corruption; 1=high corruption)</v>
      </c>
      <c r="B41" t="s">
        <v>36</v>
      </c>
      <c r="C41">
        <v>0</v>
      </c>
      <c r="D41">
        <v>0</v>
      </c>
      <c r="E41">
        <v>0</v>
      </c>
      <c r="F41">
        <v>0</v>
      </c>
      <c r="G41">
        <v>0</v>
      </c>
      <c r="H41">
        <v>0</v>
      </c>
      <c r="I41" s="21">
        <v>0</v>
      </c>
      <c r="J41">
        <v>0</v>
      </c>
      <c r="K41" s="21">
        <v>0</v>
      </c>
      <c r="L41">
        <v>0</v>
      </c>
      <c r="M41">
        <v>0</v>
      </c>
      <c r="N41">
        <v>1</v>
      </c>
      <c r="O41">
        <v>1</v>
      </c>
      <c r="P41">
        <v>0</v>
      </c>
      <c r="Q41">
        <v>0</v>
      </c>
      <c r="R41">
        <v>0</v>
      </c>
      <c r="S41">
        <v>1</v>
      </c>
    </row>
    <row r="42" spans="1:19" x14ac:dyDescent="0.25">
      <c r="A42" s="4" t="str">
        <v>Freedom of domestic movement (0=low; 1=high)</v>
      </c>
      <c r="B42" t="s">
        <v>36</v>
      </c>
      <c r="C42">
        <v>0</v>
      </c>
      <c r="D42">
        <v>0</v>
      </c>
      <c r="E42">
        <v>0</v>
      </c>
      <c r="F42">
        <v>0</v>
      </c>
      <c r="G42">
        <v>0</v>
      </c>
      <c r="H42">
        <v>0</v>
      </c>
      <c r="I42" s="21">
        <v>0</v>
      </c>
      <c r="J42">
        <v>0</v>
      </c>
      <c r="K42" s="21">
        <v>0</v>
      </c>
      <c r="L42">
        <v>0</v>
      </c>
      <c r="M42">
        <v>0</v>
      </c>
      <c r="N42">
        <v>1</v>
      </c>
      <c r="O42">
        <v>1</v>
      </c>
      <c r="P42">
        <v>0</v>
      </c>
      <c r="Q42">
        <v>0</v>
      </c>
      <c r="R42">
        <v>0</v>
      </c>
      <c r="S42">
        <v>1</v>
      </c>
    </row>
    <row r="43" spans="1:19" x14ac:dyDescent="0.25">
      <c r="A43" s="4" t="str">
        <v>Satisfied demand for contraception (% satisfied demand)</v>
      </c>
      <c r="B43" t="s">
        <v>36</v>
      </c>
      <c r="C43">
        <v>0</v>
      </c>
      <c r="D43">
        <v>0</v>
      </c>
      <c r="E43">
        <v>0</v>
      </c>
      <c r="F43">
        <v>0</v>
      </c>
      <c r="G43">
        <v>0</v>
      </c>
      <c r="H43">
        <v>1</v>
      </c>
      <c r="I43" s="21">
        <v>0</v>
      </c>
      <c r="J43">
        <v>0</v>
      </c>
      <c r="K43" s="21">
        <v>0</v>
      </c>
      <c r="L43">
        <v>0</v>
      </c>
      <c r="M43">
        <v>0</v>
      </c>
      <c r="N43">
        <v>1</v>
      </c>
      <c r="O43">
        <v>1</v>
      </c>
      <c r="P43">
        <v>0</v>
      </c>
      <c r="Q43">
        <v>0</v>
      </c>
      <c r="R43">
        <v>0</v>
      </c>
      <c r="S43">
        <v>1</v>
      </c>
    </row>
    <row r="44" spans="1:19" x14ac:dyDescent="0.25">
      <c r="A44" s="4" t="str">
        <v>Early marriage (% of married women aged 15-19)</v>
      </c>
      <c r="B44" t="s">
        <v>36</v>
      </c>
      <c r="C44">
        <v>0</v>
      </c>
      <c r="D44">
        <v>0</v>
      </c>
      <c r="E44">
        <v>0</v>
      </c>
      <c r="F44">
        <v>0</v>
      </c>
      <c r="G44">
        <v>0</v>
      </c>
      <c r="H44">
        <v>0</v>
      </c>
      <c r="I44" s="21">
        <v>0</v>
      </c>
      <c r="J44">
        <v>0</v>
      </c>
      <c r="K44" s="21">
        <v>0</v>
      </c>
      <c r="L44">
        <v>0</v>
      </c>
      <c r="M44">
        <v>0</v>
      </c>
      <c r="N44">
        <v>1</v>
      </c>
      <c r="O44">
        <v>1</v>
      </c>
      <c r="P44">
        <v>0</v>
      </c>
      <c r="Q44">
        <v>0</v>
      </c>
      <c r="R44">
        <v>0</v>
      </c>
      <c r="S44">
        <v>1</v>
      </c>
    </row>
    <row r="45" spans="1:19" x14ac:dyDescent="0.25">
      <c r="A45" s="4" t="str">
        <v xml:space="preserve">Vulnerable employment (% of total employment) </v>
      </c>
      <c r="B45" t="s">
        <v>36</v>
      </c>
      <c r="C45">
        <v>0</v>
      </c>
      <c r="D45">
        <v>0</v>
      </c>
      <c r="E45">
        <v>0</v>
      </c>
      <c r="F45">
        <v>0</v>
      </c>
      <c r="G45">
        <v>0</v>
      </c>
      <c r="H45">
        <v>1</v>
      </c>
      <c r="I45" s="21">
        <v>0</v>
      </c>
      <c r="J45">
        <v>0</v>
      </c>
      <c r="K45" s="21">
        <v>0</v>
      </c>
      <c r="L45">
        <v>0</v>
      </c>
      <c r="M45">
        <v>0</v>
      </c>
      <c r="N45">
        <v>1</v>
      </c>
      <c r="O45">
        <v>1</v>
      </c>
      <c r="P45">
        <v>0</v>
      </c>
      <c r="Q45">
        <v>0</v>
      </c>
      <c r="R45">
        <v>0</v>
      </c>
      <c r="S45">
        <v>1</v>
      </c>
    </row>
    <row r="46" spans="1:19" x14ac:dyDescent="0.25">
      <c r="A46" s="4" t="str">
        <v>Equal protection of social groups (0=low; 1=high)</v>
      </c>
      <c r="B46" t="s">
        <v>36</v>
      </c>
      <c r="C46">
        <v>0</v>
      </c>
      <c r="D46">
        <v>0</v>
      </c>
      <c r="E46">
        <v>0</v>
      </c>
      <c r="F46">
        <v>0</v>
      </c>
      <c r="G46">
        <v>0</v>
      </c>
      <c r="H46">
        <v>0</v>
      </c>
      <c r="I46" s="21">
        <v>0</v>
      </c>
      <c r="J46">
        <v>0</v>
      </c>
      <c r="K46" s="21">
        <v>0</v>
      </c>
      <c r="L46">
        <v>0</v>
      </c>
      <c r="M46">
        <v>0</v>
      </c>
      <c r="N46">
        <v>1</v>
      </c>
      <c r="O46">
        <v>1</v>
      </c>
      <c r="P46">
        <v>0</v>
      </c>
      <c r="Q46">
        <v>0</v>
      </c>
      <c r="R46">
        <v>0</v>
      </c>
      <c r="S46">
        <v>1</v>
      </c>
    </row>
    <row r="47" spans="1:19" x14ac:dyDescent="0.25">
      <c r="A47" s="4" t="str">
        <v>Equal access to power (0=low; 1=high)</v>
      </c>
      <c r="B47" t="s">
        <v>36</v>
      </c>
      <c r="C47">
        <v>0</v>
      </c>
      <c r="D47">
        <v>0</v>
      </c>
      <c r="E47">
        <v>0</v>
      </c>
      <c r="F47">
        <v>0</v>
      </c>
      <c r="G47">
        <v>0</v>
      </c>
      <c r="H47">
        <v>0</v>
      </c>
      <c r="I47" s="21">
        <v>0</v>
      </c>
      <c r="J47">
        <v>0</v>
      </c>
      <c r="K47" s="21">
        <v>0</v>
      </c>
      <c r="L47">
        <v>0</v>
      </c>
      <c r="M47">
        <v>0</v>
      </c>
      <c r="N47">
        <v>1</v>
      </c>
      <c r="O47">
        <v>1</v>
      </c>
      <c r="P47">
        <v>0</v>
      </c>
      <c r="Q47">
        <v>0</v>
      </c>
      <c r="R47">
        <v>0</v>
      </c>
      <c r="S47">
        <v>1</v>
      </c>
    </row>
    <row r="48" spans="1:19" x14ac:dyDescent="0.25">
      <c r="A48" s="4" t="str">
        <v xml:space="preserve">Power distributed by sexual orientation (0=extremely unequal; 3=equal) </v>
      </c>
      <c r="B48" t="s">
        <v>36</v>
      </c>
      <c r="C48">
        <v>0</v>
      </c>
      <c r="D48">
        <v>0</v>
      </c>
      <c r="E48">
        <v>0</v>
      </c>
      <c r="F48">
        <v>0</v>
      </c>
      <c r="G48">
        <v>0</v>
      </c>
      <c r="H48">
        <v>0</v>
      </c>
      <c r="I48" s="21">
        <v>0</v>
      </c>
      <c r="J48">
        <v>0</v>
      </c>
      <c r="K48" s="21">
        <v>0</v>
      </c>
      <c r="L48">
        <v>0</v>
      </c>
      <c r="M48">
        <v>0</v>
      </c>
      <c r="N48">
        <v>1</v>
      </c>
      <c r="O48">
        <v>1</v>
      </c>
      <c r="P48">
        <v>0</v>
      </c>
      <c r="Q48">
        <v>0</v>
      </c>
      <c r="R48">
        <v>0</v>
      </c>
      <c r="S48">
        <v>1</v>
      </c>
    </row>
    <row r="49" spans="1:19" x14ac:dyDescent="0.25">
      <c r="A49" s="4" t="str">
        <v xml:space="preserve">Access to public services distributed by social group (0=extremely unequal; 4=equal) </v>
      </c>
      <c r="B49" t="s">
        <v>36</v>
      </c>
      <c r="C49">
        <v>0</v>
      </c>
      <c r="D49">
        <v>0</v>
      </c>
      <c r="E49">
        <v>0</v>
      </c>
      <c r="F49">
        <v>0</v>
      </c>
      <c r="G49">
        <v>0</v>
      </c>
      <c r="H49">
        <v>0</v>
      </c>
      <c r="I49" s="21">
        <v>0</v>
      </c>
      <c r="J49">
        <v>0</v>
      </c>
      <c r="K49" s="21">
        <v>0</v>
      </c>
      <c r="L49">
        <v>0</v>
      </c>
      <c r="M49">
        <v>0</v>
      </c>
      <c r="N49">
        <v>1</v>
      </c>
      <c r="O49">
        <v>1</v>
      </c>
      <c r="P49">
        <v>0</v>
      </c>
      <c r="Q49">
        <v>0</v>
      </c>
      <c r="R49">
        <v>0</v>
      </c>
      <c r="S49">
        <v>1</v>
      </c>
    </row>
    <row r="50" spans="1:19" x14ac:dyDescent="0.25">
      <c r="A50" s="4" t="str">
        <v xml:space="preserve">Population with advanced education (proportion of pop.) </v>
      </c>
      <c r="B50" t="s">
        <v>23</v>
      </c>
      <c r="C50">
        <v>0</v>
      </c>
      <c r="D50">
        <v>0</v>
      </c>
      <c r="E50">
        <v>0</v>
      </c>
      <c r="F50">
        <v>0</v>
      </c>
      <c r="G50">
        <v>1</v>
      </c>
      <c r="H50">
        <v>1</v>
      </c>
      <c r="I50" s="21">
        <v>0</v>
      </c>
      <c r="J50">
        <v>0</v>
      </c>
      <c r="K50" s="21">
        <v>0</v>
      </c>
      <c r="L50">
        <v>1</v>
      </c>
      <c r="M50">
        <v>0</v>
      </c>
      <c r="N50">
        <v>1</v>
      </c>
      <c r="O50">
        <v>1</v>
      </c>
      <c r="P50">
        <v>1</v>
      </c>
      <c r="Q50">
        <v>0</v>
      </c>
      <c r="R50">
        <v>0</v>
      </c>
      <c r="S50">
        <v>1</v>
      </c>
    </row>
    <row r="51" spans="1:19" x14ac:dyDescent="0.25">
      <c r="A51" s="4" t="str">
        <v xml:space="preserve">Gender parity in advanced education (distance from parity) </v>
      </c>
      <c r="B51" t="s">
        <v>23</v>
      </c>
      <c r="C51">
        <v>0</v>
      </c>
      <c r="D51">
        <v>0</v>
      </c>
      <c r="E51">
        <v>0</v>
      </c>
      <c r="F51">
        <v>0</v>
      </c>
      <c r="G51">
        <v>1</v>
      </c>
      <c r="H51">
        <v>0</v>
      </c>
      <c r="I51" s="21">
        <v>0</v>
      </c>
      <c r="J51">
        <v>0</v>
      </c>
      <c r="K51" s="21">
        <v>0</v>
      </c>
      <c r="L51">
        <v>1</v>
      </c>
      <c r="M51">
        <v>0</v>
      </c>
      <c r="N51">
        <v>1</v>
      </c>
      <c r="O51">
        <v>1</v>
      </c>
      <c r="P51">
        <v>1</v>
      </c>
      <c r="Q51">
        <v>0</v>
      </c>
      <c r="R51">
        <v>0</v>
      </c>
      <c r="S51">
        <v>1</v>
      </c>
    </row>
    <row r="52" spans="1:19" x14ac:dyDescent="0.25">
      <c r="A52" s="4" t="str">
        <v>Respect for academic freedom (0=low; 1=high)</v>
      </c>
      <c r="B52" t="s">
        <v>23</v>
      </c>
      <c r="C52">
        <v>0</v>
      </c>
      <c r="D52">
        <v>0</v>
      </c>
      <c r="E52">
        <v>0</v>
      </c>
      <c r="F52">
        <v>0</v>
      </c>
      <c r="G52">
        <v>1</v>
      </c>
      <c r="H52">
        <v>0</v>
      </c>
      <c r="I52" s="21">
        <v>0</v>
      </c>
      <c r="J52">
        <v>0</v>
      </c>
      <c r="K52" s="21">
        <v>0</v>
      </c>
      <c r="L52">
        <v>1</v>
      </c>
      <c r="M52">
        <v>0</v>
      </c>
      <c r="N52">
        <v>1</v>
      </c>
      <c r="O52">
        <v>1</v>
      </c>
      <c r="P52">
        <v>1</v>
      </c>
      <c r="Q52">
        <v>0</v>
      </c>
      <c r="R52">
        <v>0</v>
      </c>
      <c r="S52">
        <v>1</v>
      </c>
    </row>
    <row r="53" spans="1:19" x14ac:dyDescent="0.25">
      <c r="A53" s="4" t="str">
        <v>Years of tertiary schooling (years)</v>
      </c>
      <c r="B53" t="s">
        <v>23</v>
      </c>
      <c r="C53">
        <v>0</v>
      </c>
      <c r="D53">
        <v>0</v>
      </c>
      <c r="E53">
        <v>0</v>
      </c>
      <c r="F53">
        <v>0</v>
      </c>
      <c r="G53">
        <v>1</v>
      </c>
      <c r="H53">
        <v>0</v>
      </c>
      <c r="I53" s="21">
        <v>0</v>
      </c>
      <c r="J53">
        <v>0</v>
      </c>
      <c r="K53" s="21">
        <v>0</v>
      </c>
      <c r="L53">
        <v>1</v>
      </c>
      <c r="M53">
        <v>0</v>
      </c>
      <c r="N53">
        <v>1</v>
      </c>
      <c r="O53">
        <v>1</v>
      </c>
      <c r="P53">
        <v>1</v>
      </c>
      <c r="Q53">
        <v>0</v>
      </c>
      <c r="R53">
        <v>0</v>
      </c>
      <c r="S53">
        <v>1</v>
      </c>
    </row>
    <row r="54" spans="1:19" x14ac:dyDescent="0.25">
      <c r="A54" t="s">
        <v>2</v>
      </c>
      <c r="B54" t="s">
        <v>23</v>
      </c>
      <c r="C54">
        <v>0</v>
      </c>
      <c r="D54">
        <v>1</v>
      </c>
      <c r="E54">
        <v>1</v>
      </c>
      <c r="F54">
        <v>0</v>
      </c>
      <c r="G54">
        <v>1</v>
      </c>
      <c r="H54">
        <v>1</v>
      </c>
      <c r="I54" s="21">
        <v>1</v>
      </c>
      <c r="J54">
        <v>0</v>
      </c>
      <c r="K54" s="21">
        <v>0</v>
      </c>
      <c r="L54">
        <v>1</v>
      </c>
      <c r="M54">
        <v>1</v>
      </c>
      <c r="N54">
        <v>0</v>
      </c>
      <c r="O54">
        <v>0</v>
      </c>
      <c r="P54">
        <v>0</v>
      </c>
      <c r="Q54">
        <v>0</v>
      </c>
      <c r="R54">
        <v>1</v>
      </c>
      <c r="S54">
        <v>1</v>
      </c>
    </row>
    <row r="55" spans="1:19" x14ac:dyDescent="0.25">
      <c r="A55" t="s">
        <v>3</v>
      </c>
      <c r="B55" t="s">
        <v>18</v>
      </c>
      <c r="C55">
        <v>0</v>
      </c>
      <c r="D55">
        <v>1</v>
      </c>
      <c r="E55">
        <v>0</v>
      </c>
      <c r="F55">
        <v>0</v>
      </c>
      <c r="G55">
        <v>1</v>
      </c>
      <c r="H55">
        <v>0</v>
      </c>
      <c r="I55" s="21">
        <v>0</v>
      </c>
      <c r="J55">
        <v>0</v>
      </c>
      <c r="K55" s="21">
        <v>0</v>
      </c>
      <c r="L55">
        <v>1</v>
      </c>
      <c r="M55">
        <v>0</v>
      </c>
      <c r="N55">
        <v>0</v>
      </c>
      <c r="O55">
        <v>0</v>
      </c>
      <c r="P55">
        <v>0</v>
      </c>
      <c r="Q55">
        <v>0</v>
      </c>
      <c r="R55">
        <v>1</v>
      </c>
      <c r="S55">
        <v>1</v>
      </c>
    </row>
    <row r="56" spans="1:19" x14ac:dyDescent="0.25">
      <c r="A56" t="s">
        <v>4</v>
      </c>
      <c r="B56" t="s">
        <v>18</v>
      </c>
      <c r="C56">
        <v>0</v>
      </c>
      <c r="D56">
        <v>1</v>
      </c>
      <c r="E56">
        <v>0</v>
      </c>
      <c r="F56">
        <v>0</v>
      </c>
      <c r="G56">
        <v>1</v>
      </c>
      <c r="H56">
        <v>0</v>
      </c>
      <c r="I56" s="21">
        <v>0</v>
      </c>
      <c r="J56">
        <v>0</v>
      </c>
      <c r="K56" s="21">
        <v>0</v>
      </c>
      <c r="L56">
        <v>1</v>
      </c>
      <c r="M56">
        <v>0</v>
      </c>
      <c r="N56">
        <v>0</v>
      </c>
      <c r="O56">
        <v>0</v>
      </c>
      <c r="P56">
        <v>0</v>
      </c>
      <c r="Q56">
        <v>0</v>
      </c>
      <c r="R56">
        <v>1</v>
      </c>
      <c r="S56">
        <v>1</v>
      </c>
    </row>
    <row r="57" spans="1:19" x14ac:dyDescent="0.25">
      <c r="A57" t="s">
        <v>5</v>
      </c>
      <c r="B57" t="s">
        <v>25</v>
      </c>
      <c r="C57">
        <v>0</v>
      </c>
      <c r="D57">
        <v>1</v>
      </c>
      <c r="E57">
        <v>0</v>
      </c>
      <c r="F57">
        <v>0</v>
      </c>
      <c r="G57">
        <v>1</v>
      </c>
      <c r="H57">
        <v>0</v>
      </c>
      <c r="I57" s="21">
        <v>0</v>
      </c>
      <c r="J57">
        <v>0</v>
      </c>
      <c r="K57" s="21">
        <v>0</v>
      </c>
      <c r="L57">
        <v>1</v>
      </c>
      <c r="M57">
        <v>0</v>
      </c>
      <c r="N57">
        <v>0</v>
      </c>
      <c r="O57">
        <v>0</v>
      </c>
      <c r="P57">
        <v>0</v>
      </c>
      <c r="Q57">
        <v>0</v>
      </c>
      <c r="R57">
        <v>1</v>
      </c>
      <c r="S57">
        <v>1</v>
      </c>
    </row>
    <row r="58" spans="1:19" x14ac:dyDescent="0.25">
      <c r="A58" t="s">
        <v>7</v>
      </c>
      <c r="B58" t="s">
        <v>24</v>
      </c>
      <c r="C58">
        <v>0</v>
      </c>
      <c r="D58">
        <v>1</v>
      </c>
      <c r="E58">
        <v>1</v>
      </c>
      <c r="F58">
        <v>0</v>
      </c>
      <c r="G58">
        <v>1</v>
      </c>
      <c r="H58">
        <v>1</v>
      </c>
      <c r="I58" s="21">
        <v>1</v>
      </c>
      <c r="J58">
        <v>0</v>
      </c>
      <c r="K58" s="21">
        <v>1</v>
      </c>
      <c r="L58">
        <v>1</v>
      </c>
      <c r="M58">
        <v>0</v>
      </c>
      <c r="N58">
        <v>0</v>
      </c>
      <c r="O58">
        <v>0</v>
      </c>
      <c r="P58">
        <v>0</v>
      </c>
      <c r="Q58">
        <v>0</v>
      </c>
      <c r="R58">
        <v>1</v>
      </c>
      <c r="S58">
        <v>1</v>
      </c>
    </row>
    <row r="59" spans="1:19" x14ac:dyDescent="0.25">
      <c r="A59" t="s">
        <v>6</v>
      </c>
      <c r="B59" t="s">
        <v>22</v>
      </c>
      <c r="C59">
        <v>0</v>
      </c>
      <c r="D59">
        <v>1</v>
      </c>
      <c r="E59">
        <v>1</v>
      </c>
      <c r="F59">
        <v>0</v>
      </c>
      <c r="G59">
        <v>1</v>
      </c>
      <c r="H59">
        <v>1</v>
      </c>
      <c r="I59" s="21">
        <v>1</v>
      </c>
      <c r="J59">
        <v>0</v>
      </c>
      <c r="K59" s="21">
        <v>1</v>
      </c>
      <c r="L59">
        <v>1</v>
      </c>
      <c r="M59">
        <v>0</v>
      </c>
      <c r="N59">
        <v>0</v>
      </c>
      <c r="O59">
        <v>0</v>
      </c>
      <c r="P59">
        <v>0</v>
      </c>
      <c r="Q59">
        <v>0</v>
      </c>
      <c r="R59">
        <v>1</v>
      </c>
      <c r="S59">
        <v>1</v>
      </c>
    </row>
    <row r="60" spans="1:19" x14ac:dyDescent="0.25">
      <c r="A60" t="s">
        <v>8</v>
      </c>
      <c r="B60" t="s">
        <v>25</v>
      </c>
      <c r="C60">
        <v>0</v>
      </c>
      <c r="D60">
        <v>1</v>
      </c>
      <c r="E60">
        <v>0</v>
      </c>
      <c r="F60">
        <v>0</v>
      </c>
      <c r="G60">
        <v>1</v>
      </c>
      <c r="H60">
        <v>0</v>
      </c>
      <c r="I60" s="21">
        <v>0</v>
      </c>
      <c r="J60">
        <v>0</v>
      </c>
      <c r="K60" s="21">
        <v>0</v>
      </c>
      <c r="L60">
        <v>1</v>
      </c>
      <c r="M60">
        <v>0</v>
      </c>
      <c r="N60">
        <v>0</v>
      </c>
      <c r="O60">
        <v>0</v>
      </c>
      <c r="P60">
        <v>0</v>
      </c>
      <c r="Q60">
        <v>0</v>
      </c>
      <c r="R60">
        <v>1</v>
      </c>
      <c r="S60">
        <v>1</v>
      </c>
    </row>
    <row r="61" spans="1:19" x14ac:dyDescent="0.25">
      <c r="A61" t="s">
        <v>9</v>
      </c>
      <c r="B61" t="s">
        <v>25</v>
      </c>
      <c r="C61">
        <v>0</v>
      </c>
      <c r="D61">
        <v>1</v>
      </c>
      <c r="E61">
        <v>0</v>
      </c>
      <c r="F61">
        <v>0</v>
      </c>
      <c r="G61">
        <v>1</v>
      </c>
      <c r="H61">
        <v>0</v>
      </c>
      <c r="I61" s="21">
        <v>0</v>
      </c>
      <c r="J61">
        <v>0</v>
      </c>
      <c r="K61" s="21">
        <v>0</v>
      </c>
      <c r="L61">
        <v>1</v>
      </c>
      <c r="M61">
        <v>0</v>
      </c>
      <c r="N61">
        <v>0</v>
      </c>
      <c r="O61">
        <v>0</v>
      </c>
      <c r="P61">
        <v>0</v>
      </c>
      <c r="Q61">
        <v>0</v>
      </c>
      <c r="R61">
        <v>1</v>
      </c>
      <c r="S61">
        <v>1</v>
      </c>
    </row>
    <row r="62" spans="1:19" x14ac:dyDescent="0.25">
      <c r="A62" t="s">
        <v>10</v>
      </c>
      <c r="B62" t="s">
        <v>21</v>
      </c>
      <c r="C62">
        <v>0</v>
      </c>
      <c r="D62" s="30">
        <v>0</v>
      </c>
      <c r="E62">
        <v>0</v>
      </c>
      <c r="F62">
        <v>0</v>
      </c>
      <c r="G62" s="30">
        <v>0</v>
      </c>
      <c r="H62">
        <v>0</v>
      </c>
      <c r="I62" s="21">
        <v>0</v>
      </c>
      <c r="J62">
        <v>0</v>
      </c>
      <c r="K62" s="21">
        <v>0</v>
      </c>
      <c r="L62" s="30">
        <v>0</v>
      </c>
      <c r="M62">
        <v>0</v>
      </c>
      <c r="N62">
        <v>0</v>
      </c>
      <c r="O62">
        <v>0</v>
      </c>
      <c r="P62">
        <v>0</v>
      </c>
      <c r="Q62">
        <v>0</v>
      </c>
      <c r="R62" s="30">
        <v>0</v>
      </c>
      <c r="S62" s="30">
        <v>0</v>
      </c>
    </row>
    <row r="63" spans="1:19" x14ac:dyDescent="0.25">
      <c r="A63" t="s">
        <v>11</v>
      </c>
      <c r="B63" t="s">
        <v>19</v>
      </c>
      <c r="C63">
        <v>0</v>
      </c>
      <c r="D63">
        <v>1</v>
      </c>
      <c r="E63">
        <v>1</v>
      </c>
      <c r="F63">
        <v>1</v>
      </c>
      <c r="G63">
        <v>1</v>
      </c>
      <c r="H63">
        <v>1</v>
      </c>
      <c r="I63" s="21">
        <v>1</v>
      </c>
      <c r="J63">
        <v>1</v>
      </c>
      <c r="K63" s="21">
        <v>1</v>
      </c>
      <c r="L63">
        <v>1</v>
      </c>
      <c r="M63">
        <v>1</v>
      </c>
      <c r="N63">
        <v>0</v>
      </c>
      <c r="O63">
        <v>0</v>
      </c>
      <c r="P63">
        <v>1</v>
      </c>
      <c r="Q63">
        <v>0</v>
      </c>
      <c r="R63">
        <v>1</v>
      </c>
      <c r="S63">
        <v>1</v>
      </c>
    </row>
    <row r="64" spans="1:19" x14ac:dyDescent="0.25">
      <c r="A64" t="s">
        <v>12</v>
      </c>
      <c r="B64" t="s">
        <v>36</v>
      </c>
      <c r="C64">
        <v>0</v>
      </c>
      <c r="D64">
        <v>1</v>
      </c>
      <c r="E64">
        <v>0</v>
      </c>
      <c r="F64">
        <v>0</v>
      </c>
      <c r="G64">
        <v>0</v>
      </c>
      <c r="H64">
        <v>0</v>
      </c>
      <c r="I64" s="21">
        <v>0</v>
      </c>
      <c r="J64">
        <v>0</v>
      </c>
      <c r="K64" s="21">
        <v>0</v>
      </c>
      <c r="L64">
        <v>0</v>
      </c>
      <c r="M64">
        <v>0</v>
      </c>
      <c r="N64">
        <v>0</v>
      </c>
      <c r="O64">
        <v>0</v>
      </c>
      <c r="P64">
        <v>0</v>
      </c>
      <c r="Q64">
        <v>0</v>
      </c>
      <c r="R64">
        <v>0</v>
      </c>
      <c r="S64">
        <v>1</v>
      </c>
    </row>
    <row r="65" spans="2:2" x14ac:dyDescent="0.25">
      <c r="B65" t="s">
        <v>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B827-50C5-4E2E-BFA5-DFF2F72F5247}">
  <sheetPr>
    <tabColor theme="2" tint="-0.249977111117893"/>
  </sheetPr>
  <dimension ref="A3:F67"/>
  <sheetViews>
    <sheetView workbookViewId="0">
      <selection activeCell="H15" sqref="H15"/>
    </sheetView>
  </sheetViews>
  <sheetFormatPr defaultRowHeight="15" x14ac:dyDescent="0.25"/>
  <cols>
    <col min="2" max="2" width="61.7109375" customWidth="1"/>
    <col min="3" max="3" width="22.140625" customWidth="1"/>
    <col min="6" max="6" width="24.5703125" customWidth="1"/>
    <col min="7" max="7" width="55" customWidth="1"/>
  </cols>
  <sheetData>
    <row r="3" spans="1:6" x14ac:dyDescent="0.25">
      <c r="A3" s="1" t="s">
        <v>0</v>
      </c>
      <c r="B3" s="1" t="s">
        <v>30</v>
      </c>
      <c r="C3" s="1" t="s">
        <v>17</v>
      </c>
    </row>
    <row r="4" spans="1:6" x14ac:dyDescent="0.25">
      <c r="A4" t="s">
        <v>14</v>
      </c>
      <c r="B4" s="3" t="str" cm="1">
        <f t="array" ref="B4:B55">TRANSPOSE('[1]1990-2020 Time-series data'!$Y$2:$BX$2)</f>
        <v xml:space="preserve">Child stunting (% of pop.) </v>
      </c>
      <c r="C4" t="s">
        <v>18</v>
      </c>
      <c r="F4" s="60"/>
    </row>
    <row r="5" spans="1:6" x14ac:dyDescent="0.25">
      <c r="B5" s="3" t="str">
        <v>Deaths from infectious diseases (deaths/100,000)</v>
      </c>
      <c r="C5" t="s">
        <v>25</v>
      </c>
      <c r="F5" s="60"/>
    </row>
    <row r="6" spans="1:6" x14ac:dyDescent="0.25">
      <c r="B6" s="3" t="str">
        <v xml:space="preserve">Maternal mortality  (deaths/100,000 live births) </v>
      </c>
      <c r="C6" t="s">
        <v>25</v>
      </c>
      <c r="F6" s="60"/>
    </row>
    <row r="7" spans="1:6" x14ac:dyDescent="0.25">
      <c r="B7" s="3" t="str">
        <v xml:space="preserve">Nutritional deficiencies (% of pop.) </v>
      </c>
      <c r="C7" t="s">
        <v>18</v>
      </c>
      <c r="F7" s="60"/>
    </row>
    <row r="8" spans="1:6" x14ac:dyDescent="0.25">
      <c r="B8" s="3" t="str">
        <v xml:space="preserve">Diet low in fruits and vegetables (0=low risk; 100=high risk) </v>
      </c>
      <c r="C8" t="s">
        <v>18</v>
      </c>
      <c r="F8" s="60"/>
    </row>
    <row r="9" spans="1:6" x14ac:dyDescent="0.25">
      <c r="B9" s="3" t="str">
        <v xml:space="preserve">Child mortality (deaths/1,000 live births) </v>
      </c>
      <c r="C9" t="s">
        <v>25</v>
      </c>
      <c r="F9" s="60"/>
    </row>
    <row r="10" spans="1:6" x14ac:dyDescent="0.25">
      <c r="B10" s="3" t="str">
        <v xml:space="preserve">No access to a handwashing facility (0=low risk; 100=high risk) </v>
      </c>
      <c r="C10" t="s">
        <v>22</v>
      </c>
      <c r="F10" s="60"/>
    </row>
    <row r="11" spans="1:6" x14ac:dyDescent="0.25">
      <c r="B11" s="3" t="str">
        <v>Deaths from unsafe water, sanitation and hygiene (deaths/100,000)</v>
      </c>
      <c r="C11" t="s">
        <v>22</v>
      </c>
      <c r="F11" s="60"/>
    </row>
    <row r="12" spans="1:6" x14ac:dyDescent="0.25">
      <c r="B12" s="3" t="str">
        <v xml:space="preserve">Improved sanitation (proportion of pop.) </v>
      </c>
      <c r="C12" t="s">
        <v>24</v>
      </c>
      <c r="F12" s="60"/>
    </row>
    <row r="13" spans="1:6" x14ac:dyDescent="0.25">
      <c r="B13" s="3" t="str">
        <v xml:space="preserve">Improved water source (proportion of pop.) </v>
      </c>
      <c r="C13" t="s">
        <v>22</v>
      </c>
    </row>
    <row r="14" spans="1:6" x14ac:dyDescent="0.25">
      <c r="A14" t="s">
        <v>13</v>
      </c>
      <c r="B14" s="2" t="str">
        <v>Deaths from household air pollution (deaths/100,000)</v>
      </c>
      <c r="C14" t="s">
        <v>21</v>
      </c>
    </row>
    <row r="15" spans="1:6" x14ac:dyDescent="0.25">
      <c r="B15" s="2" t="str">
        <v xml:space="preserve">Prevalence of cooking with coal/biomass (proportion of pop.) </v>
      </c>
      <c r="C15" t="s">
        <v>21</v>
      </c>
    </row>
    <row r="16" spans="1:6" x14ac:dyDescent="0.25">
      <c r="B16" s="2" t="str">
        <v xml:space="preserve">Access to electricity (% of pop.) </v>
      </c>
      <c r="C16" t="s">
        <v>20</v>
      </c>
    </row>
    <row r="17" spans="2:3" x14ac:dyDescent="0.25">
      <c r="B17" s="2" t="str">
        <v>Deaths from road injuries (deaths/100,000)</v>
      </c>
      <c r="C17" t="s">
        <v>36</v>
      </c>
    </row>
    <row r="18" spans="2:3" x14ac:dyDescent="0.25">
      <c r="B18" s="2" t="str">
        <v xml:space="preserve">Political violence (0=no violence; 4=violence often) </v>
      </c>
      <c r="C18" t="s">
        <v>36</v>
      </c>
    </row>
    <row r="19" spans="2:3" x14ac:dyDescent="0.25">
      <c r="B19" s="2" t="str">
        <v>Political killings and torture (0=low freedom; 1=high freedom)</v>
      </c>
      <c r="C19" t="s">
        <v>36</v>
      </c>
    </row>
    <row r="20" spans="2:3" x14ac:dyDescent="0.25">
      <c r="B20" s="2" t="str">
        <v xml:space="preserve">Intimate partner violence against women (% of women aged 15+) </v>
      </c>
      <c r="C20" t="s">
        <v>36</v>
      </c>
    </row>
    <row r="21" spans="2:3" x14ac:dyDescent="0.25">
      <c r="B21" s="2" t="str">
        <v>Interpersonal violence  (deaths/100,000)</v>
      </c>
      <c r="C21" t="s">
        <v>36</v>
      </c>
    </row>
    <row r="22" spans="2:3" x14ac:dyDescent="0.25">
      <c r="B22" s="2" t="str">
        <v xml:space="preserve">Population with no education (proportion of pop.) </v>
      </c>
      <c r="C22" t="s">
        <v>23</v>
      </c>
    </row>
    <row r="23" spans="2:3" x14ac:dyDescent="0.25">
      <c r="B23" s="2" t="str">
        <v xml:space="preserve">Gender parity in basic education (distance from parity) </v>
      </c>
      <c r="C23" t="s">
        <v>23</v>
      </c>
    </row>
    <row r="24" spans="2:3" x14ac:dyDescent="0.25">
      <c r="B24" s="2" t="str">
        <v xml:space="preserve">Equal access to quality education (0=unequal; 4=equal) </v>
      </c>
      <c r="C24" t="s">
        <v>23</v>
      </c>
    </row>
    <row r="25" spans="2:3" x14ac:dyDescent="0.25">
      <c r="B25" s="2" t="str">
        <v>Mean years of schooling (years)</v>
      </c>
      <c r="C25" t="s">
        <v>23</v>
      </c>
    </row>
    <row r="26" spans="2:3" x14ac:dyDescent="0.25">
      <c r="B26" s="2" t="str">
        <v>Alternative sources of information (0=low; 1=high)</v>
      </c>
      <c r="C26" t="s">
        <v>26</v>
      </c>
    </row>
    <row r="27" spans="2:3" x14ac:dyDescent="0.25">
      <c r="B27" s="2" t="str">
        <v xml:space="preserve">Internet users (% of pop.) </v>
      </c>
      <c r="C27" t="s">
        <v>26</v>
      </c>
    </row>
    <row r="28" spans="2:3" x14ac:dyDescent="0.25">
      <c r="B28" s="2" t="str">
        <v xml:space="preserve">Mobile and landline telephone subscriptions (subscriptions/100 people) </v>
      </c>
      <c r="C28" t="s">
        <v>26</v>
      </c>
    </row>
    <row r="29" spans="2:3" x14ac:dyDescent="0.25">
      <c r="B29" s="2" t="str">
        <v>Life expectancy at 60 (years)</v>
      </c>
      <c r="C29" t="s">
        <v>25</v>
      </c>
    </row>
    <row r="30" spans="2:3" x14ac:dyDescent="0.25">
      <c r="B30" s="2" t="str">
        <v>Premature deaths from non-communicable diseases (deaths/100,000)</v>
      </c>
      <c r="C30" t="s">
        <v>25</v>
      </c>
    </row>
    <row r="31" spans="2:3" x14ac:dyDescent="0.25">
      <c r="B31" s="2" t="str">
        <v xml:space="preserve">Equal access to quality healthcare (0=unequal; 4=equal) </v>
      </c>
      <c r="C31" t="s">
        <v>25</v>
      </c>
    </row>
    <row r="32" spans="2:3" x14ac:dyDescent="0.25">
      <c r="B32" s="2" t="str">
        <v xml:space="preserve">Universal health coverage (% of pop.) </v>
      </c>
      <c r="C32" t="s">
        <v>25</v>
      </c>
    </row>
    <row r="33" spans="1:3" x14ac:dyDescent="0.25">
      <c r="B33" s="2" t="str">
        <v>Deaths from outdoor air pollution (deaths/100,000)</v>
      </c>
      <c r="C33" t="s">
        <v>36</v>
      </c>
    </row>
    <row r="34" spans="1:3" x14ac:dyDescent="0.25">
      <c r="B34" s="2" t="str">
        <v>Particulate matter (2.5) pollution (mean annual exposure, µg/m3)</v>
      </c>
      <c r="C34" t="s">
        <v>36</v>
      </c>
    </row>
    <row r="35" spans="1:3" x14ac:dyDescent="0.25">
      <c r="B35" s="2" t="str">
        <v>Deaths from lead exposure (deaths/100,000)</v>
      </c>
      <c r="C35" t="s">
        <v>36</v>
      </c>
    </row>
    <row r="36" spans="1:3" x14ac:dyDescent="0.25">
      <c r="B36" s="2" t="str">
        <v>Species protection (0=low; 100=high)</v>
      </c>
      <c r="C36" t="s">
        <v>36</v>
      </c>
    </row>
    <row r="37" spans="1:3" x14ac:dyDescent="0.25">
      <c r="A37" t="s">
        <v>15</v>
      </c>
      <c r="B37" s="4" t="str">
        <v xml:space="preserve">Freedom of religion (0=no freedom; 4=full freedom) </v>
      </c>
      <c r="C37" t="s">
        <v>36</v>
      </c>
    </row>
    <row r="38" spans="1:3" x14ac:dyDescent="0.25">
      <c r="B38" s="4" t="str">
        <v xml:space="preserve">Property rights for women (0=no rights; 5=full rights) </v>
      </c>
      <c r="C38" t="s">
        <v>36</v>
      </c>
    </row>
    <row r="39" spans="1:3" x14ac:dyDescent="0.25">
      <c r="B39" s="4" t="str">
        <v xml:space="preserve">Freedom of assembly (0=no freedom; 4=full freedom) </v>
      </c>
      <c r="C39" t="s">
        <v>36</v>
      </c>
    </row>
    <row r="40" spans="1:3" x14ac:dyDescent="0.25">
      <c r="B40" s="4" t="str">
        <v>Access to justice (0=nonexistent; 1=observed)</v>
      </c>
      <c r="C40" t="s">
        <v>36</v>
      </c>
    </row>
    <row r="41" spans="1:3" x14ac:dyDescent="0.25">
      <c r="B41" s="4" t="str">
        <v>Freedom of discussion (0=low; 1=high)</v>
      </c>
      <c r="C41" t="s">
        <v>36</v>
      </c>
    </row>
    <row r="42" spans="1:3" x14ac:dyDescent="0.25">
      <c r="B42" s="4" t="str">
        <v>Political rights (1=full rights; 7=no rights)</v>
      </c>
      <c r="C42" t="s">
        <v>36</v>
      </c>
    </row>
    <row r="43" spans="1:3" x14ac:dyDescent="0.25">
      <c r="B43" s="4" t="str">
        <v>Public sector corruption (0=low corruption; 1=high corruption)</v>
      </c>
      <c r="C43" t="s">
        <v>36</v>
      </c>
    </row>
    <row r="44" spans="1:3" x14ac:dyDescent="0.25">
      <c r="B44" s="4" t="str">
        <v>Freedom of domestic movement (0=low; 1=high)</v>
      </c>
      <c r="C44" t="s">
        <v>36</v>
      </c>
    </row>
    <row r="45" spans="1:3" x14ac:dyDescent="0.25">
      <c r="B45" s="4" t="str">
        <v>Satisfied demand for contraception (% satisfied demand)</v>
      </c>
      <c r="C45" t="s">
        <v>36</v>
      </c>
    </row>
    <row r="46" spans="1:3" x14ac:dyDescent="0.25">
      <c r="B46" s="4" t="str">
        <v>Early marriage (% of married women aged 15-19)</v>
      </c>
      <c r="C46" t="s">
        <v>36</v>
      </c>
    </row>
    <row r="47" spans="1:3" x14ac:dyDescent="0.25">
      <c r="B47" s="4" t="str">
        <v xml:space="preserve">Vulnerable employment (% of total employment) </v>
      </c>
      <c r="C47" t="s">
        <v>36</v>
      </c>
    </row>
    <row r="48" spans="1:3" x14ac:dyDescent="0.25">
      <c r="B48" s="4" t="str">
        <v>Equal protection of social groups (0=low; 1=high)</v>
      </c>
      <c r="C48" t="s">
        <v>36</v>
      </c>
    </row>
    <row r="49" spans="1:3" x14ac:dyDescent="0.25">
      <c r="B49" s="4" t="str">
        <v>Equal access to power (0=low; 1=high)</v>
      </c>
      <c r="C49" t="s">
        <v>36</v>
      </c>
    </row>
    <row r="50" spans="1:3" x14ac:dyDescent="0.25">
      <c r="B50" s="4" t="str">
        <v xml:space="preserve">Power distributed by sexual orientation (0=extremely unequal; 3=equal) </v>
      </c>
      <c r="C50" t="s">
        <v>36</v>
      </c>
    </row>
    <row r="51" spans="1:3" x14ac:dyDescent="0.25">
      <c r="B51" s="4" t="str">
        <v xml:space="preserve">Access to public services distributed by social group (0=extremely unequal; 4=equal) </v>
      </c>
      <c r="C51" t="s">
        <v>36</v>
      </c>
    </row>
    <row r="52" spans="1:3" x14ac:dyDescent="0.25">
      <c r="B52" s="4" t="str">
        <v xml:space="preserve">Population with advanced education (proportion of pop.) </v>
      </c>
      <c r="C52" t="s">
        <v>23</v>
      </c>
    </row>
    <row r="53" spans="1:3" x14ac:dyDescent="0.25">
      <c r="B53" s="4" t="str">
        <v xml:space="preserve">Gender parity in advanced education (distance from parity) </v>
      </c>
      <c r="C53" t="s">
        <v>23</v>
      </c>
    </row>
    <row r="54" spans="1:3" x14ac:dyDescent="0.25">
      <c r="B54" s="4" t="str">
        <v>Respect for academic freedom (0=low; 1=high)</v>
      </c>
      <c r="C54" t="s">
        <v>23</v>
      </c>
    </row>
    <row r="55" spans="1:3" x14ac:dyDescent="0.25">
      <c r="B55" s="4" t="str">
        <v>Years of tertiary schooling (years)</v>
      </c>
      <c r="C55" t="s">
        <v>23</v>
      </c>
    </row>
    <row r="56" spans="1:3" x14ac:dyDescent="0.25">
      <c r="A56" s="1" t="s">
        <v>1</v>
      </c>
      <c r="B56" t="s">
        <v>2</v>
      </c>
      <c r="C56" t="s">
        <v>23</v>
      </c>
    </row>
    <row r="57" spans="1:3" x14ac:dyDescent="0.25">
      <c r="B57" t="s">
        <v>3</v>
      </c>
      <c r="C57" t="s">
        <v>18</v>
      </c>
    </row>
    <row r="58" spans="1:3" x14ac:dyDescent="0.25">
      <c r="B58" t="s">
        <v>4</v>
      </c>
      <c r="C58" t="s">
        <v>18</v>
      </c>
    </row>
    <row r="59" spans="1:3" x14ac:dyDescent="0.25">
      <c r="B59" t="s">
        <v>5</v>
      </c>
      <c r="C59" t="s">
        <v>25</v>
      </c>
    </row>
    <row r="60" spans="1:3" x14ac:dyDescent="0.25">
      <c r="B60" t="s">
        <v>7</v>
      </c>
      <c r="C60" t="s">
        <v>24</v>
      </c>
    </row>
    <row r="61" spans="1:3" x14ac:dyDescent="0.25">
      <c r="B61" t="s">
        <v>6</v>
      </c>
      <c r="C61" t="s">
        <v>22</v>
      </c>
    </row>
    <row r="62" spans="1:3" x14ac:dyDescent="0.25">
      <c r="B62" t="s">
        <v>8</v>
      </c>
      <c r="C62" t="s">
        <v>25</v>
      </c>
    </row>
    <row r="63" spans="1:3" x14ac:dyDescent="0.25">
      <c r="B63" t="s">
        <v>9</v>
      </c>
      <c r="C63" t="s">
        <v>25</v>
      </c>
    </row>
    <row r="64" spans="1:3" x14ac:dyDescent="0.25">
      <c r="B64" t="s">
        <v>10</v>
      </c>
      <c r="C64" t="s">
        <v>21</v>
      </c>
    </row>
    <row r="65" spans="2:4" x14ac:dyDescent="0.25">
      <c r="B65" t="s">
        <v>11</v>
      </c>
      <c r="C65" t="s">
        <v>19</v>
      </c>
    </row>
    <row r="66" spans="2:4" x14ac:dyDescent="0.25">
      <c r="B66" t="s">
        <v>12</v>
      </c>
      <c r="C66" t="s">
        <v>36</v>
      </c>
    </row>
    <row r="67" spans="2:4" x14ac:dyDescent="0.25">
      <c r="C67" t="s">
        <v>27</v>
      </c>
      <c r="D67" t="s">
        <v>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64353-93EB-4651-8113-59130569BFF4}">
  <dimension ref="A1:P17"/>
  <sheetViews>
    <sheetView zoomScale="145" zoomScaleNormal="145" workbookViewId="0">
      <selection activeCell="L6" sqref="L6"/>
    </sheetView>
  </sheetViews>
  <sheetFormatPr defaultRowHeight="15" x14ac:dyDescent="0.25"/>
  <cols>
    <col min="1" max="1" width="24.5703125" customWidth="1"/>
    <col min="2" max="11" width="5.42578125" customWidth="1"/>
  </cols>
  <sheetData>
    <row r="1" spans="1:16" ht="127.5" x14ac:dyDescent="0.25">
      <c r="A1" s="35" t="s">
        <v>16</v>
      </c>
      <c r="B1" s="34" t="s">
        <v>69</v>
      </c>
      <c r="C1" s="34" t="s">
        <v>31</v>
      </c>
      <c r="D1" s="34" t="s">
        <v>80</v>
      </c>
      <c r="E1" s="34" t="s">
        <v>81</v>
      </c>
      <c r="F1" s="34" t="s">
        <v>82</v>
      </c>
      <c r="G1" s="34" t="s">
        <v>83</v>
      </c>
      <c r="H1" s="34" t="s">
        <v>84</v>
      </c>
      <c r="I1" s="34" t="s">
        <v>85</v>
      </c>
      <c r="J1" s="34" t="s">
        <v>86</v>
      </c>
      <c r="K1" s="34" t="s">
        <v>87</v>
      </c>
      <c r="M1" s="32"/>
      <c r="N1" s="32"/>
      <c r="P1" s="32"/>
    </row>
    <row r="2" spans="1:16" x14ac:dyDescent="0.25">
      <c r="A2" s="36" t="s">
        <v>18</v>
      </c>
      <c r="B2" s="31">
        <v>3</v>
      </c>
      <c r="C2" s="31">
        <v>3</v>
      </c>
      <c r="D2" s="31">
        <v>5</v>
      </c>
      <c r="E2" s="31">
        <v>5</v>
      </c>
      <c r="F2" s="31">
        <v>3</v>
      </c>
      <c r="G2" s="31">
        <v>5</v>
      </c>
      <c r="H2" s="31">
        <v>1</v>
      </c>
      <c r="I2" s="31">
        <v>1</v>
      </c>
      <c r="J2" s="31">
        <v>1</v>
      </c>
      <c r="K2" s="31">
        <v>1</v>
      </c>
    </row>
    <row r="3" spans="1:16" x14ac:dyDescent="0.25">
      <c r="A3" s="36" t="s">
        <v>25</v>
      </c>
      <c r="B3" s="31">
        <v>7</v>
      </c>
      <c r="C3" s="31">
        <v>7</v>
      </c>
      <c r="D3" s="31">
        <v>10</v>
      </c>
      <c r="E3" s="31">
        <v>10</v>
      </c>
      <c r="F3" s="31">
        <v>7</v>
      </c>
      <c r="G3" s="31">
        <v>10</v>
      </c>
      <c r="H3" s="31">
        <v>1</v>
      </c>
      <c r="I3" s="31">
        <v>1</v>
      </c>
      <c r="J3" s="31">
        <v>1</v>
      </c>
      <c r="K3" s="31">
        <v>1</v>
      </c>
    </row>
    <row r="4" spans="1:16" x14ac:dyDescent="0.25">
      <c r="A4" s="36" t="s">
        <v>22</v>
      </c>
      <c r="B4" s="31">
        <v>3</v>
      </c>
      <c r="C4" s="31">
        <v>3</v>
      </c>
      <c r="D4" s="31">
        <v>4</v>
      </c>
      <c r="E4" s="31">
        <v>4</v>
      </c>
      <c r="F4" s="31">
        <v>3</v>
      </c>
      <c r="G4" s="31">
        <v>4</v>
      </c>
      <c r="H4" s="31">
        <v>2</v>
      </c>
      <c r="I4" s="31">
        <v>2</v>
      </c>
      <c r="J4" s="31">
        <v>2</v>
      </c>
      <c r="K4" s="31">
        <v>2</v>
      </c>
    </row>
    <row r="5" spans="1:16" x14ac:dyDescent="0.25">
      <c r="A5" s="36" t="s">
        <v>24</v>
      </c>
      <c r="B5" s="31">
        <v>1</v>
      </c>
      <c r="C5" s="31">
        <v>1</v>
      </c>
      <c r="D5" s="31">
        <v>2</v>
      </c>
      <c r="E5" s="31">
        <v>2</v>
      </c>
      <c r="F5" s="31">
        <v>1</v>
      </c>
      <c r="G5" s="31">
        <v>2</v>
      </c>
      <c r="H5" s="31">
        <v>1</v>
      </c>
      <c r="I5" s="31">
        <v>1</v>
      </c>
      <c r="J5" s="31">
        <v>1</v>
      </c>
      <c r="K5" s="31">
        <v>1</v>
      </c>
      <c r="P5" t="str" cm="1">
        <f t="array" ref="P5:P14">TRANSPOSE(B1:K1)</f>
        <v>Baseline</v>
      </c>
    </row>
    <row r="6" spans="1:16" x14ac:dyDescent="0.25">
      <c r="A6" s="36" t="s">
        <v>21</v>
      </c>
      <c r="B6" s="31">
        <v>2</v>
      </c>
      <c r="C6" s="31">
        <v>2</v>
      </c>
      <c r="D6" s="31">
        <v>2</v>
      </c>
      <c r="E6" s="31">
        <v>2</v>
      </c>
      <c r="F6" s="31">
        <v>2</v>
      </c>
      <c r="G6" s="31">
        <v>2</v>
      </c>
      <c r="H6" s="31">
        <v>1</v>
      </c>
      <c r="I6" s="31">
        <v>1</v>
      </c>
      <c r="J6" s="31">
        <v>1</v>
      </c>
      <c r="K6" s="31">
        <v>1</v>
      </c>
      <c r="P6" t="str">
        <v>BHN_FWB</v>
      </c>
    </row>
    <row r="7" spans="1:16" x14ac:dyDescent="0.25">
      <c r="A7" s="36" t="s">
        <v>20</v>
      </c>
      <c r="B7" s="31">
        <v>1</v>
      </c>
      <c r="C7" s="31">
        <v>1</v>
      </c>
      <c r="D7" s="31">
        <v>1</v>
      </c>
      <c r="E7" s="31">
        <v>1</v>
      </c>
      <c r="F7" s="31">
        <v>1</v>
      </c>
      <c r="G7" s="31">
        <v>1</v>
      </c>
      <c r="H7" s="31">
        <v>1</v>
      </c>
      <c r="I7" s="31">
        <v>1</v>
      </c>
      <c r="J7" s="31">
        <v>1</v>
      </c>
      <c r="K7" s="31">
        <v>1</v>
      </c>
      <c r="P7" t="str">
        <v>SPI_Extended</v>
      </c>
    </row>
    <row r="8" spans="1:16" x14ac:dyDescent="0.25">
      <c r="A8" s="36" t="s">
        <v>23</v>
      </c>
      <c r="B8" s="31">
        <v>8</v>
      </c>
      <c r="C8" s="31">
        <v>4</v>
      </c>
      <c r="D8" s="31">
        <v>9</v>
      </c>
      <c r="E8" s="31">
        <v>9</v>
      </c>
      <c r="F8" s="31">
        <v>8</v>
      </c>
      <c r="G8" s="31">
        <v>5</v>
      </c>
      <c r="H8" s="31">
        <v>1</v>
      </c>
      <c r="I8" s="31">
        <v>1</v>
      </c>
      <c r="J8" s="31">
        <v>1</v>
      </c>
      <c r="K8" s="31">
        <v>1</v>
      </c>
      <c r="P8" t="str">
        <v>DLS_dim_only</v>
      </c>
    </row>
    <row r="9" spans="1:16" x14ac:dyDescent="0.25">
      <c r="A9" s="36" t="s">
        <v>26</v>
      </c>
      <c r="B9" s="31">
        <v>3</v>
      </c>
      <c r="C9" s="31">
        <v>3</v>
      </c>
      <c r="D9" s="31">
        <v>3</v>
      </c>
      <c r="E9" s="31">
        <v>3</v>
      </c>
      <c r="F9" s="31">
        <v>3</v>
      </c>
      <c r="G9" s="31">
        <v>3</v>
      </c>
      <c r="H9" s="31">
        <v>2</v>
      </c>
      <c r="I9" s="31">
        <v>2</v>
      </c>
      <c r="J9" s="31">
        <v>2</v>
      </c>
      <c r="K9" s="31">
        <v>2</v>
      </c>
      <c r="P9" t="str">
        <v>DLS_dim_only_limExt</v>
      </c>
    </row>
    <row r="10" spans="1:16" x14ac:dyDescent="0.25">
      <c r="A10" s="36" t="s">
        <v>19</v>
      </c>
      <c r="B10" s="31">
        <v>0</v>
      </c>
      <c r="C10" s="31">
        <v>0</v>
      </c>
      <c r="D10" s="31">
        <v>1</v>
      </c>
      <c r="E10" s="31">
        <v>1</v>
      </c>
      <c r="F10" s="31">
        <v>1</v>
      </c>
      <c r="G10" s="31">
        <v>1</v>
      </c>
      <c r="H10" s="31">
        <v>1</v>
      </c>
      <c r="I10" s="31">
        <v>1</v>
      </c>
      <c r="J10" s="31">
        <v>1</v>
      </c>
      <c r="K10" s="31">
        <v>1</v>
      </c>
      <c r="P10" t="str">
        <v>DLS_dim_only_BHNFWB</v>
      </c>
    </row>
    <row r="11" spans="1:16" x14ac:dyDescent="0.25">
      <c r="A11" s="36" t="s">
        <v>27</v>
      </c>
      <c r="B11" s="31">
        <v>0</v>
      </c>
      <c r="C11" s="31">
        <v>0</v>
      </c>
      <c r="D11" s="31">
        <v>0</v>
      </c>
      <c r="E11" s="31">
        <v>0</v>
      </c>
      <c r="F11" s="31">
        <v>0</v>
      </c>
      <c r="G11" s="31">
        <v>0</v>
      </c>
      <c r="H11" s="31">
        <v>0</v>
      </c>
      <c r="I11" s="31">
        <v>0</v>
      </c>
      <c r="J11" s="31">
        <v>0</v>
      </c>
      <c r="K11" s="31">
        <v>0</v>
      </c>
      <c r="P11" t="str">
        <v>DLSFew_coverage</v>
      </c>
    </row>
    <row r="12" spans="1:16" x14ac:dyDescent="0.25">
      <c r="A12" s="37" t="s">
        <v>36</v>
      </c>
      <c r="B12" s="33">
        <v>24</v>
      </c>
      <c r="C12" s="33">
        <v>9</v>
      </c>
      <c r="D12" s="33">
        <v>25</v>
      </c>
      <c r="E12" s="33">
        <v>0</v>
      </c>
      <c r="F12" s="33">
        <v>0</v>
      </c>
      <c r="G12" s="33">
        <v>0</v>
      </c>
      <c r="H12" s="33">
        <v>0</v>
      </c>
      <c r="I12" s="33">
        <v>0</v>
      </c>
      <c r="J12" s="33">
        <v>0</v>
      </c>
      <c r="K12" s="33">
        <v>0</v>
      </c>
      <c r="P12" t="str">
        <v>DLSFew_coverage_90</v>
      </c>
    </row>
    <row r="13" spans="1:16" x14ac:dyDescent="0.25">
      <c r="A13" s="38" t="s">
        <v>33</v>
      </c>
      <c r="B13" s="39">
        <v>52</v>
      </c>
      <c r="C13" s="39">
        <v>33</v>
      </c>
      <c r="D13" s="39">
        <v>62</v>
      </c>
      <c r="E13" s="39">
        <v>37</v>
      </c>
      <c r="F13" s="39">
        <v>29</v>
      </c>
      <c r="G13" s="39">
        <v>33</v>
      </c>
      <c r="H13" s="39">
        <v>11</v>
      </c>
      <c r="I13" s="39">
        <v>11</v>
      </c>
      <c r="J13" s="39">
        <v>11</v>
      </c>
      <c r="K13" s="39">
        <v>11</v>
      </c>
      <c r="P13" t="str">
        <v>DLSFew_bestAlignment</v>
      </c>
    </row>
    <row r="14" spans="1:16" x14ac:dyDescent="0.25">
      <c r="A14" s="36" t="s">
        <v>34</v>
      </c>
      <c r="B14" s="31">
        <v>52</v>
      </c>
      <c r="C14" s="31">
        <v>33</v>
      </c>
      <c r="D14" s="31">
        <v>52</v>
      </c>
      <c r="E14" s="31">
        <v>28</v>
      </c>
      <c r="F14" s="31">
        <v>28</v>
      </c>
      <c r="G14" s="31">
        <v>24</v>
      </c>
      <c r="H14" s="31">
        <v>10</v>
      </c>
      <c r="I14" s="31">
        <v>10</v>
      </c>
      <c r="J14" s="31">
        <v>7</v>
      </c>
      <c r="K14" s="31">
        <v>7</v>
      </c>
      <c r="P14" t="str">
        <v>DLSFew_bestAlignment_90</v>
      </c>
    </row>
    <row r="15" spans="1:16" x14ac:dyDescent="0.25">
      <c r="A15" s="36" t="s">
        <v>35</v>
      </c>
      <c r="B15" s="31">
        <v>0</v>
      </c>
      <c r="C15" s="31">
        <v>0</v>
      </c>
      <c r="D15" s="31">
        <v>10</v>
      </c>
      <c r="E15" s="31">
        <v>9</v>
      </c>
      <c r="F15" s="31">
        <v>1</v>
      </c>
      <c r="G15" s="31">
        <v>9</v>
      </c>
      <c r="H15" s="31">
        <v>1</v>
      </c>
      <c r="I15" s="31">
        <v>1</v>
      </c>
      <c r="J15" s="31">
        <v>4</v>
      </c>
      <c r="K15" s="31">
        <v>4</v>
      </c>
    </row>
    <row r="17" spans="2:11" x14ac:dyDescent="0.25">
      <c r="B17" s="31"/>
      <c r="C17" s="31"/>
      <c r="D17" s="31"/>
      <c r="E17" s="31"/>
      <c r="F17" s="31"/>
      <c r="G17" s="31"/>
      <c r="H17" s="31"/>
      <c r="I17" s="31"/>
      <c r="J17" s="31"/>
      <c r="K17" s="31"/>
    </row>
  </sheetData>
  <conditionalFormatting sqref="B2:K12">
    <cfRule type="expression" dxfId="0" priority="1">
      <formula>B2&gt;0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A346D-1A16-4F68-93D6-C1A89543708A}">
  <dimension ref="A1:H72"/>
  <sheetViews>
    <sheetView tabSelected="1" topLeftCell="A22" zoomScaleNormal="100" workbookViewId="0">
      <selection activeCell="F36" sqref="F36:F38"/>
    </sheetView>
  </sheetViews>
  <sheetFormatPr defaultRowHeight="15" x14ac:dyDescent="0.25"/>
  <cols>
    <col min="1" max="1" width="12.28515625" customWidth="1"/>
    <col min="2" max="2" width="18.140625" style="31" customWidth="1"/>
    <col min="3" max="3" width="71" customWidth="1"/>
    <col min="4" max="4" width="34" customWidth="1"/>
    <col min="6" max="6" width="24.28515625" style="31" customWidth="1"/>
    <col min="7" max="7" width="32" customWidth="1"/>
  </cols>
  <sheetData>
    <row r="1" spans="1:8" x14ac:dyDescent="0.25">
      <c r="A1" s="68" t="s">
        <v>88</v>
      </c>
      <c r="B1" s="68" t="s">
        <v>89</v>
      </c>
      <c r="C1" s="68" t="s">
        <v>90</v>
      </c>
      <c r="D1" s="68" t="s">
        <v>98</v>
      </c>
      <c r="E1" s="68" t="s">
        <v>139</v>
      </c>
      <c r="F1" s="66" t="s">
        <v>161</v>
      </c>
      <c r="G1" s="61" t="s">
        <v>153</v>
      </c>
    </row>
    <row r="2" spans="1:8" ht="409.5" x14ac:dyDescent="0.25">
      <c r="A2" s="69">
        <v>1</v>
      </c>
      <c r="B2" s="68" t="s">
        <v>19</v>
      </c>
      <c r="C2" s="70" t="s">
        <v>143</v>
      </c>
      <c r="D2" s="71" t="s">
        <v>165</v>
      </c>
      <c r="E2" s="71" t="s">
        <v>140</v>
      </c>
      <c r="F2" s="78" t="s">
        <v>162</v>
      </c>
      <c r="G2" t="s">
        <v>152</v>
      </c>
      <c r="H2" s="67" t="s">
        <v>145</v>
      </c>
    </row>
    <row r="3" spans="1:8" ht="90" x14ac:dyDescent="0.25">
      <c r="A3" s="69">
        <v>2</v>
      </c>
      <c r="B3" s="68" t="s">
        <v>20</v>
      </c>
      <c r="C3" s="70" t="s">
        <v>142</v>
      </c>
      <c r="D3" s="71" t="s">
        <v>99</v>
      </c>
      <c r="E3" s="71" t="s">
        <v>0</v>
      </c>
      <c r="F3" s="78" t="s">
        <v>162</v>
      </c>
    </row>
    <row r="4" spans="1:8" ht="30" customHeight="1" x14ac:dyDescent="0.25">
      <c r="A4" s="72">
        <v>3</v>
      </c>
      <c r="B4" s="73" t="s">
        <v>91</v>
      </c>
      <c r="C4" s="74" t="s">
        <v>141</v>
      </c>
      <c r="D4" s="71" t="s">
        <v>135</v>
      </c>
      <c r="E4" s="71" t="s">
        <v>0</v>
      </c>
      <c r="F4" s="79" t="s">
        <v>163</v>
      </c>
    </row>
    <row r="5" spans="1:8" ht="15.75" x14ac:dyDescent="0.25">
      <c r="A5" s="72"/>
      <c r="B5" s="73"/>
      <c r="C5" s="74"/>
      <c r="D5" s="71" t="s">
        <v>101</v>
      </c>
      <c r="E5" s="71" t="s">
        <v>0</v>
      </c>
      <c r="F5" s="79"/>
    </row>
    <row r="6" spans="1:8" ht="15.75" x14ac:dyDescent="0.25">
      <c r="A6" s="72"/>
      <c r="B6" s="73"/>
      <c r="C6" s="74"/>
      <c r="D6" s="71" t="s">
        <v>102</v>
      </c>
      <c r="E6" s="71" t="s">
        <v>0</v>
      </c>
      <c r="F6" s="79"/>
    </row>
    <row r="7" spans="1:8" ht="15.75" x14ac:dyDescent="0.25">
      <c r="A7" s="72"/>
      <c r="B7" s="73"/>
      <c r="C7" s="74"/>
      <c r="D7" s="71" t="s">
        <v>103</v>
      </c>
      <c r="E7" s="71" t="s">
        <v>146</v>
      </c>
      <c r="F7" s="79"/>
    </row>
    <row r="8" spans="1:8" ht="15.75" x14ac:dyDescent="0.25">
      <c r="A8" s="72"/>
      <c r="B8" s="73"/>
      <c r="C8" s="74"/>
      <c r="D8" s="71" t="s">
        <v>104</v>
      </c>
      <c r="E8" s="71" t="s">
        <v>146</v>
      </c>
      <c r="F8" s="79"/>
    </row>
    <row r="9" spans="1:8" ht="31.5" x14ac:dyDescent="0.25">
      <c r="A9" s="72">
        <v>4</v>
      </c>
      <c r="B9" s="73" t="s">
        <v>92</v>
      </c>
      <c r="C9" s="74" t="s">
        <v>144</v>
      </c>
      <c r="D9" s="71" t="s">
        <v>105</v>
      </c>
      <c r="E9" s="71" t="s">
        <v>0</v>
      </c>
      <c r="F9" s="79" t="s">
        <v>162</v>
      </c>
    </row>
    <row r="10" spans="1:8" ht="31.5" x14ac:dyDescent="0.25">
      <c r="A10" s="72"/>
      <c r="B10" s="73"/>
      <c r="C10" s="74"/>
      <c r="D10" s="71" t="s">
        <v>106</v>
      </c>
      <c r="E10" s="71" t="s">
        <v>0</v>
      </c>
      <c r="F10" s="79"/>
    </row>
    <row r="11" spans="1:8" ht="15.75" x14ac:dyDescent="0.25">
      <c r="A11" s="72"/>
      <c r="B11" s="73"/>
      <c r="C11" s="74"/>
      <c r="D11" s="71" t="s">
        <v>107</v>
      </c>
      <c r="E11" s="71" t="s">
        <v>158</v>
      </c>
      <c r="F11" s="79"/>
      <c r="G11" t="s">
        <v>157</v>
      </c>
    </row>
    <row r="12" spans="1:8" ht="31.5" x14ac:dyDescent="0.25">
      <c r="A12" s="72">
        <v>5</v>
      </c>
      <c r="B12" s="73" t="s">
        <v>22</v>
      </c>
      <c r="C12" s="74" t="s">
        <v>93</v>
      </c>
      <c r="D12" s="71" t="s">
        <v>108</v>
      </c>
      <c r="E12" s="71" t="s">
        <v>0</v>
      </c>
      <c r="F12" s="79" t="s">
        <v>163</v>
      </c>
    </row>
    <row r="13" spans="1:8" ht="31.5" x14ac:dyDescent="0.25">
      <c r="A13" s="72"/>
      <c r="B13" s="73"/>
      <c r="C13" s="74"/>
      <c r="D13" s="71" t="s">
        <v>109</v>
      </c>
      <c r="E13" s="71" t="s">
        <v>0</v>
      </c>
      <c r="F13" s="79"/>
    </row>
    <row r="14" spans="1:8" ht="15.75" customHeight="1" x14ac:dyDescent="0.25">
      <c r="A14" s="72"/>
      <c r="B14" s="73"/>
      <c r="C14" s="74"/>
      <c r="D14" s="71" t="s">
        <v>110</v>
      </c>
      <c r="E14" s="71" t="s">
        <v>0</v>
      </c>
      <c r="F14" s="79"/>
    </row>
    <row r="15" spans="1:8" ht="47.25" x14ac:dyDescent="0.25">
      <c r="A15" s="72"/>
      <c r="B15" s="73"/>
      <c r="C15" s="74"/>
      <c r="D15" s="71" t="s">
        <v>111</v>
      </c>
      <c r="E15" s="71" t="s">
        <v>155</v>
      </c>
      <c r="F15" s="79"/>
      <c r="G15" t="s">
        <v>156</v>
      </c>
    </row>
    <row r="16" spans="1:8" ht="15.75" x14ac:dyDescent="0.25">
      <c r="A16" s="72">
        <v>6</v>
      </c>
      <c r="B16" s="73" t="s">
        <v>24</v>
      </c>
      <c r="C16" s="74" t="s">
        <v>94</v>
      </c>
      <c r="D16" s="71" t="s">
        <v>112</v>
      </c>
      <c r="E16" s="71" t="s">
        <v>0</v>
      </c>
      <c r="F16" s="79" t="s">
        <v>163</v>
      </c>
    </row>
    <row r="17" spans="1:7" ht="47.25" x14ac:dyDescent="0.25">
      <c r="A17" s="72"/>
      <c r="B17" s="73"/>
      <c r="C17" s="74"/>
      <c r="D17" s="71" t="s">
        <v>113</v>
      </c>
      <c r="E17" s="71" t="s">
        <v>155</v>
      </c>
      <c r="F17" s="79"/>
      <c r="G17" s="77" t="s">
        <v>154</v>
      </c>
    </row>
    <row r="18" spans="1:7" ht="15.75" x14ac:dyDescent="0.25">
      <c r="A18" s="72">
        <v>7</v>
      </c>
      <c r="B18" s="73" t="s">
        <v>95</v>
      </c>
      <c r="C18" s="74" t="s">
        <v>96</v>
      </c>
      <c r="D18" s="71" t="s">
        <v>114</v>
      </c>
      <c r="E18" s="71" t="s">
        <v>0</v>
      </c>
      <c r="F18" s="79" t="s">
        <v>163</v>
      </c>
    </row>
    <row r="19" spans="1:7" ht="15.75" x14ac:dyDescent="0.25">
      <c r="A19" s="72"/>
      <c r="B19" s="73"/>
      <c r="C19" s="74"/>
      <c r="D19" s="71" t="s">
        <v>115</v>
      </c>
      <c r="E19" s="71" t="s">
        <v>0</v>
      </c>
      <c r="F19" s="79"/>
    </row>
    <row r="20" spans="1:7" ht="15.75" x14ac:dyDescent="0.25">
      <c r="A20" s="72"/>
      <c r="B20" s="73"/>
      <c r="C20" s="74"/>
      <c r="D20" s="71" t="s">
        <v>116</v>
      </c>
      <c r="E20" s="71" t="s">
        <v>0</v>
      </c>
      <c r="F20" s="79"/>
    </row>
    <row r="21" spans="1:7" ht="15.75" x14ac:dyDescent="0.25">
      <c r="A21" s="72"/>
      <c r="B21" s="73"/>
      <c r="C21" s="74"/>
      <c r="D21" s="71" t="s">
        <v>117</v>
      </c>
      <c r="E21" s="71" t="s">
        <v>0</v>
      </c>
      <c r="F21" s="79"/>
    </row>
    <row r="22" spans="1:7" ht="15.75" x14ac:dyDescent="0.25">
      <c r="A22" s="72"/>
      <c r="B22" s="73"/>
      <c r="C22" s="74"/>
      <c r="D22" s="71" t="s">
        <v>118</v>
      </c>
      <c r="E22" s="71" t="s">
        <v>160</v>
      </c>
      <c r="F22" s="79"/>
      <c r="G22" t="s">
        <v>159</v>
      </c>
    </row>
    <row r="23" spans="1:7" ht="31.5" x14ac:dyDescent="0.25">
      <c r="A23" s="72"/>
      <c r="B23" s="73"/>
      <c r="C23" s="74"/>
      <c r="D23" s="71" t="s">
        <v>119</v>
      </c>
      <c r="E23" s="71" t="s">
        <v>0</v>
      </c>
      <c r="F23" s="79"/>
    </row>
    <row r="24" spans="1:7" ht="31.5" x14ac:dyDescent="0.25">
      <c r="A24" s="72"/>
      <c r="B24" s="73"/>
      <c r="C24" s="74"/>
      <c r="D24" s="71" t="s">
        <v>120</v>
      </c>
      <c r="E24" s="71" t="s">
        <v>0</v>
      </c>
      <c r="F24" s="79"/>
    </row>
    <row r="25" spans="1:7" ht="15.75" x14ac:dyDescent="0.25">
      <c r="A25" s="72"/>
      <c r="B25" s="73"/>
      <c r="C25" s="74"/>
      <c r="D25" s="71" t="s">
        <v>121</v>
      </c>
      <c r="E25" s="71" t="s">
        <v>0</v>
      </c>
      <c r="F25" s="79"/>
    </row>
    <row r="26" spans="1:7" ht="31.5" x14ac:dyDescent="0.25">
      <c r="A26" s="72"/>
      <c r="B26" s="73"/>
      <c r="C26" s="74"/>
      <c r="D26" s="71" t="s">
        <v>122</v>
      </c>
      <c r="E26" s="71" t="s">
        <v>147</v>
      </c>
      <c r="F26" s="79"/>
      <c r="G26" t="s">
        <v>151</v>
      </c>
    </row>
    <row r="27" spans="1:7" ht="31.5" x14ac:dyDescent="0.25">
      <c r="A27" s="72"/>
      <c r="B27" s="73"/>
      <c r="C27" s="74"/>
      <c r="D27" s="71" t="s">
        <v>123</v>
      </c>
      <c r="E27" s="71" t="s">
        <v>147</v>
      </c>
      <c r="F27" s="79"/>
      <c r="G27" s="76" t="s">
        <v>150</v>
      </c>
    </row>
    <row r="28" spans="1:7" ht="15.75" x14ac:dyDescent="0.25">
      <c r="A28" s="72">
        <v>8</v>
      </c>
      <c r="B28" s="73" t="s">
        <v>23</v>
      </c>
      <c r="C28" s="74" t="s">
        <v>138</v>
      </c>
      <c r="D28" s="71" t="s">
        <v>124</v>
      </c>
      <c r="E28" s="71" t="s">
        <v>148</v>
      </c>
      <c r="F28" s="79" t="s">
        <v>163</v>
      </c>
      <c r="G28" t="s">
        <v>149</v>
      </c>
    </row>
    <row r="29" spans="1:7" ht="31.5" x14ac:dyDescent="0.25">
      <c r="A29" s="72"/>
      <c r="B29" s="73"/>
      <c r="C29" s="74"/>
      <c r="D29" s="71" t="s">
        <v>125</v>
      </c>
      <c r="E29" s="71" t="s">
        <v>0</v>
      </c>
      <c r="F29" s="79"/>
    </row>
    <row r="30" spans="1:7" ht="31.5" x14ac:dyDescent="0.25">
      <c r="A30" s="72"/>
      <c r="B30" s="73"/>
      <c r="C30" s="74"/>
      <c r="D30" s="71" t="s">
        <v>126</v>
      </c>
      <c r="E30" s="71" t="s">
        <v>0</v>
      </c>
      <c r="F30" s="79"/>
    </row>
    <row r="31" spans="1:7" ht="15.75" x14ac:dyDescent="0.25">
      <c r="A31" s="72"/>
      <c r="B31" s="73"/>
      <c r="C31" s="74"/>
      <c r="D31" s="71" t="s">
        <v>127</v>
      </c>
      <c r="E31" s="71" t="s">
        <v>0</v>
      </c>
      <c r="F31" s="79"/>
    </row>
    <row r="32" spans="1:7" ht="31.5" x14ac:dyDescent="0.25">
      <c r="A32" s="72"/>
      <c r="B32" s="73"/>
      <c r="C32" s="74"/>
      <c r="D32" s="71" t="s">
        <v>128</v>
      </c>
      <c r="E32" s="71" t="s">
        <v>0</v>
      </c>
      <c r="F32" s="79"/>
    </row>
    <row r="33" spans="1:6" ht="15.75" x14ac:dyDescent="0.25">
      <c r="A33" s="72"/>
      <c r="B33" s="73"/>
      <c r="C33" s="74"/>
      <c r="D33" s="71" t="s">
        <v>129</v>
      </c>
      <c r="E33" s="71" t="s">
        <v>0</v>
      </c>
      <c r="F33" s="79"/>
    </row>
    <row r="34" spans="1:6" ht="31.5" x14ac:dyDescent="0.25">
      <c r="A34" s="72"/>
      <c r="B34" s="73"/>
      <c r="C34" s="74"/>
      <c r="D34" s="71" t="s">
        <v>130</v>
      </c>
      <c r="E34" s="71" t="s">
        <v>0</v>
      </c>
      <c r="F34" s="79"/>
    </row>
    <row r="35" spans="1:6" ht="31.5" x14ac:dyDescent="0.25">
      <c r="A35" s="72"/>
      <c r="B35" s="73"/>
      <c r="C35" s="74"/>
      <c r="D35" s="71" t="s">
        <v>131</v>
      </c>
      <c r="E35" s="71" t="s">
        <v>0</v>
      </c>
      <c r="F35" s="79"/>
    </row>
    <row r="36" spans="1:6" ht="31.5" x14ac:dyDescent="0.25">
      <c r="A36" s="72">
        <v>9</v>
      </c>
      <c r="B36" s="73" t="s">
        <v>97</v>
      </c>
      <c r="C36" s="74" t="s">
        <v>137</v>
      </c>
      <c r="D36" s="71" t="s">
        <v>132</v>
      </c>
      <c r="E36" s="71" t="s">
        <v>0</v>
      </c>
      <c r="F36" s="79" t="s">
        <v>163</v>
      </c>
    </row>
    <row r="37" spans="1:6" ht="15.75" x14ac:dyDescent="0.25">
      <c r="A37" s="72"/>
      <c r="B37" s="73"/>
      <c r="C37" s="74"/>
      <c r="D37" s="71" t="s">
        <v>133</v>
      </c>
      <c r="E37" s="71" t="s">
        <v>0</v>
      </c>
      <c r="F37" s="79"/>
    </row>
    <row r="38" spans="1:6" ht="47.25" x14ac:dyDescent="0.25">
      <c r="A38" s="72"/>
      <c r="B38" s="73"/>
      <c r="C38" s="74"/>
      <c r="D38" s="71" t="s">
        <v>134</v>
      </c>
      <c r="E38" s="71" t="s">
        <v>0</v>
      </c>
      <c r="F38" s="79"/>
    </row>
    <row r="39" spans="1:6" ht="60" x14ac:dyDescent="0.25">
      <c r="A39" s="69">
        <v>10</v>
      </c>
      <c r="B39" s="68" t="s">
        <v>27</v>
      </c>
      <c r="C39" s="70" t="s">
        <v>136</v>
      </c>
      <c r="D39" s="75"/>
      <c r="E39" s="71"/>
      <c r="F39" s="80" t="s">
        <v>164</v>
      </c>
    </row>
    <row r="40" spans="1:6" ht="15.75" x14ac:dyDescent="0.25">
      <c r="E40" s="62"/>
      <c r="F40" s="78"/>
    </row>
    <row r="41" spans="1:6" ht="16.5" thickBot="1" x14ac:dyDescent="0.3">
      <c r="D41" s="63"/>
      <c r="E41" s="62"/>
      <c r="F41" s="78"/>
    </row>
    <row r="42" spans="1:6" ht="16.5" thickBot="1" x14ac:dyDescent="0.3">
      <c r="D42" s="63"/>
      <c r="E42" s="62"/>
      <c r="F42" s="78"/>
    </row>
    <row r="43" spans="1:6" ht="16.5" thickBot="1" x14ac:dyDescent="0.3">
      <c r="D43" s="63"/>
      <c r="E43" s="62"/>
      <c r="F43" s="78"/>
    </row>
    <row r="44" spans="1:6" ht="16.5" thickBot="1" x14ac:dyDescent="0.3">
      <c r="D44" s="63"/>
      <c r="E44" s="62"/>
      <c r="F44" s="78"/>
    </row>
    <row r="45" spans="1:6" ht="15.75" x14ac:dyDescent="0.25">
      <c r="E45" s="62"/>
      <c r="F45" s="78"/>
    </row>
    <row r="46" spans="1:6" ht="15.75" x14ac:dyDescent="0.25">
      <c r="E46" s="62"/>
      <c r="F46" s="78"/>
    </row>
    <row r="47" spans="1:6" ht="15.75" x14ac:dyDescent="0.25">
      <c r="E47" s="62"/>
      <c r="F47" s="78"/>
    </row>
    <row r="48" spans="1:6" ht="15.75" x14ac:dyDescent="0.25">
      <c r="E48" s="62"/>
      <c r="F48" s="78"/>
    </row>
    <row r="49" spans="5:6" ht="15.75" x14ac:dyDescent="0.25">
      <c r="E49" s="62"/>
      <c r="F49" s="78"/>
    </row>
    <row r="50" spans="5:6" ht="15.75" x14ac:dyDescent="0.25">
      <c r="E50" s="62"/>
      <c r="F50" s="78"/>
    </row>
    <row r="51" spans="5:6" ht="15.75" x14ac:dyDescent="0.25">
      <c r="E51" s="62"/>
      <c r="F51" s="78"/>
    </row>
    <row r="52" spans="5:6" ht="15.75" x14ac:dyDescent="0.25">
      <c r="E52" s="62"/>
      <c r="F52" s="78"/>
    </row>
    <row r="53" spans="5:6" ht="15.75" x14ac:dyDescent="0.25">
      <c r="E53" s="62"/>
      <c r="F53" s="78"/>
    </row>
    <row r="54" spans="5:6" ht="15.75" x14ac:dyDescent="0.25">
      <c r="E54" s="62"/>
      <c r="F54" s="78"/>
    </row>
    <row r="55" spans="5:6" ht="15.75" x14ac:dyDescent="0.25">
      <c r="E55" s="62"/>
      <c r="F55" s="78"/>
    </row>
    <row r="56" spans="5:6" ht="15.75" x14ac:dyDescent="0.25">
      <c r="E56" s="62"/>
      <c r="F56" s="78"/>
    </row>
    <row r="57" spans="5:6" ht="15.75" x14ac:dyDescent="0.25">
      <c r="E57" s="62"/>
      <c r="F57" s="78"/>
    </row>
    <row r="58" spans="5:6" ht="15.75" x14ac:dyDescent="0.25">
      <c r="E58" s="62"/>
      <c r="F58" s="78"/>
    </row>
    <row r="59" spans="5:6" ht="15.75" x14ac:dyDescent="0.25">
      <c r="E59" s="62"/>
      <c r="F59" s="78"/>
    </row>
    <row r="60" spans="5:6" ht="15.75" x14ac:dyDescent="0.25">
      <c r="E60" s="62"/>
      <c r="F60" s="78"/>
    </row>
    <row r="61" spans="5:6" ht="15.75" x14ac:dyDescent="0.25">
      <c r="E61" s="62"/>
      <c r="F61" s="78"/>
    </row>
    <row r="62" spans="5:6" ht="15.75" x14ac:dyDescent="0.25">
      <c r="E62" s="62"/>
      <c r="F62" s="78"/>
    </row>
    <row r="63" spans="5:6" ht="15.75" x14ac:dyDescent="0.25">
      <c r="E63" s="62"/>
      <c r="F63" s="78"/>
    </row>
    <row r="64" spans="5:6" ht="15.75" x14ac:dyDescent="0.25">
      <c r="E64" s="62"/>
      <c r="F64" s="78"/>
    </row>
    <row r="65" spans="4:6" ht="15.75" x14ac:dyDescent="0.25">
      <c r="E65" s="62"/>
      <c r="F65" s="78"/>
    </row>
    <row r="66" spans="4:6" ht="15.75" x14ac:dyDescent="0.25">
      <c r="E66" s="62"/>
      <c r="F66" s="78"/>
    </row>
    <row r="67" spans="4:6" ht="15.75" x14ac:dyDescent="0.25">
      <c r="E67" s="62"/>
      <c r="F67" s="78"/>
    </row>
    <row r="68" spans="4:6" ht="15.75" x14ac:dyDescent="0.25">
      <c r="E68" s="62"/>
      <c r="F68" s="78"/>
    </row>
    <row r="69" spans="4:6" ht="15.75" x14ac:dyDescent="0.25">
      <c r="E69" s="62"/>
      <c r="F69" s="78"/>
    </row>
    <row r="70" spans="4:6" ht="15.75" x14ac:dyDescent="0.25">
      <c r="E70" s="62"/>
      <c r="F70" s="78"/>
    </row>
    <row r="71" spans="4:6" ht="15.75" x14ac:dyDescent="0.25">
      <c r="E71" s="62"/>
      <c r="F71" s="78"/>
    </row>
    <row r="72" spans="4:6" ht="15.75" x14ac:dyDescent="0.25">
      <c r="D72" s="64"/>
      <c r="E72" s="65"/>
      <c r="F72" s="78"/>
    </row>
  </sheetData>
  <mergeCells count="28">
    <mergeCell ref="F4:F8"/>
    <mergeCell ref="F9:F11"/>
    <mergeCell ref="F12:F15"/>
    <mergeCell ref="F16:F17"/>
    <mergeCell ref="F36:F38"/>
    <mergeCell ref="F28:F35"/>
    <mergeCell ref="F18:F27"/>
    <mergeCell ref="C28:C35"/>
    <mergeCell ref="B28:B35"/>
    <mergeCell ref="A28:A35"/>
    <mergeCell ref="C36:C38"/>
    <mergeCell ref="B36:B38"/>
    <mergeCell ref="A36:A38"/>
    <mergeCell ref="C12:C15"/>
    <mergeCell ref="A12:A15"/>
    <mergeCell ref="C18:C27"/>
    <mergeCell ref="B18:B27"/>
    <mergeCell ref="A18:A27"/>
    <mergeCell ref="A9:A11"/>
    <mergeCell ref="A4:A8"/>
    <mergeCell ref="B16:B17"/>
    <mergeCell ref="C16:C17"/>
    <mergeCell ref="A16:A17"/>
    <mergeCell ref="B12:B15"/>
    <mergeCell ref="B4:B8"/>
    <mergeCell ref="C4:C8"/>
    <mergeCell ref="B9:B11"/>
    <mergeCell ref="C9:C11"/>
  </mergeCells>
  <hyperlinks>
    <hyperlink ref="G27" r:id="rId1" xr:uid="{8F82EA5A-B040-442D-8D33-D437ACD7D892}"/>
    <hyperlink ref="G17" r:id="rId2" xr:uid="{EDA6AEEC-14A3-4778-9A3E-A0590D612609}"/>
  </hyperlinks>
  <pageMargins left="0.7" right="0.7" top="0.75" bottom="0.75" header="0.3" footer="0.3"/>
  <pageSetup orientation="portrait"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663A5-903D-4F33-9CF8-4B48BA1B1476}">
  <dimension ref="A1:E45"/>
  <sheetViews>
    <sheetView workbookViewId="0">
      <selection activeCell="G4" sqref="G4"/>
    </sheetView>
  </sheetViews>
  <sheetFormatPr defaultRowHeight="15" x14ac:dyDescent="0.25"/>
  <sheetData>
    <row r="1" spans="1:5" ht="54.75" thickBot="1" x14ac:dyDescent="0.3">
      <c r="A1" s="85" t="s">
        <v>166</v>
      </c>
      <c r="B1" s="86" t="s">
        <v>167</v>
      </c>
      <c r="C1" s="86" t="s">
        <v>168</v>
      </c>
      <c r="D1" s="86" t="s">
        <v>169</v>
      </c>
      <c r="E1" s="87" t="s">
        <v>170</v>
      </c>
    </row>
    <row r="2" spans="1:5" ht="22.5" customHeight="1" thickTop="1" thickBot="1" x14ac:dyDescent="0.3">
      <c r="A2" s="96" t="s">
        <v>171</v>
      </c>
      <c r="B2" s="81" t="s">
        <v>172</v>
      </c>
      <c r="C2" s="99" t="s">
        <v>173</v>
      </c>
      <c r="D2" s="81"/>
      <c r="E2" s="88"/>
    </row>
    <row r="3" spans="1:5" ht="24.75" thickBot="1" x14ac:dyDescent="0.3">
      <c r="A3" s="97"/>
      <c r="B3" s="81" t="s">
        <v>174</v>
      </c>
      <c r="C3" s="100"/>
      <c r="D3" s="81"/>
      <c r="E3" s="88"/>
    </row>
    <row r="4" spans="1:5" ht="24.75" thickBot="1" x14ac:dyDescent="0.3">
      <c r="A4" s="98"/>
      <c r="B4" s="81" t="s">
        <v>175</v>
      </c>
      <c r="C4" s="101"/>
      <c r="D4" s="81"/>
      <c r="E4" s="88"/>
    </row>
    <row r="5" spans="1:5" ht="15.75" thickBot="1" x14ac:dyDescent="0.3">
      <c r="A5" s="95" t="s">
        <v>176</v>
      </c>
      <c r="B5" s="81" t="s">
        <v>177</v>
      </c>
      <c r="C5" s="102" t="s">
        <v>99</v>
      </c>
      <c r="D5" s="82"/>
      <c r="E5" s="89"/>
    </row>
    <row r="6" spans="1:5" ht="15.75" thickBot="1" x14ac:dyDescent="0.3">
      <c r="A6" s="97"/>
      <c r="B6" s="81" t="s">
        <v>178</v>
      </c>
      <c r="C6" s="103"/>
      <c r="D6" s="81"/>
      <c r="E6" s="88"/>
    </row>
    <row r="7" spans="1:5" ht="24.75" thickBot="1" x14ac:dyDescent="0.3">
      <c r="A7" s="98"/>
      <c r="B7" s="81" t="s">
        <v>179</v>
      </c>
      <c r="C7" s="104"/>
      <c r="D7" s="81"/>
      <c r="E7" s="88"/>
    </row>
    <row r="8" spans="1:5" ht="36.75" thickBot="1" x14ac:dyDescent="0.3">
      <c r="A8" s="95" t="s">
        <v>180</v>
      </c>
      <c r="B8" s="81" t="s">
        <v>181</v>
      </c>
      <c r="C8" s="102" t="s">
        <v>100</v>
      </c>
      <c r="D8" s="82"/>
      <c r="E8" s="89"/>
    </row>
    <row r="9" spans="1:5" ht="15.75" thickBot="1" x14ac:dyDescent="0.3">
      <c r="A9" s="97"/>
      <c r="B9" s="105" t="s">
        <v>182</v>
      </c>
      <c r="C9" s="104"/>
      <c r="D9" s="82"/>
      <c r="E9" s="89"/>
    </row>
    <row r="10" spans="1:5" ht="36.75" thickBot="1" x14ac:dyDescent="0.3">
      <c r="A10" s="97"/>
      <c r="B10" s="106"/>
      <c r="C10" s="82" t="s">
        <v>101</v>
      </c>
      <c r="D10" s="82"/>
      <c r="E10" s="89"/>
    </row>
    <row r="11" spans="1:5" ht="36.75" thickBot="1" x14ac:dyDescent="0.3">
      <c r="A11" s="97"/>
      <c r="B11" s="106"/>
      <c r="C11" s="82" t="s">
        <v>102</v>
      </c>
      <c r="D11" s="82"/>
      <c r="E11" s="89"/>
    </row>
    <row r="12" spans="1:5" ht="36.75" thickBot="1" x14ac:dyDescent="0.3">
      <c r="A12" s="97"/>
      <c r="B12" s="106"/>
      <c r="C12" s="82" t="s">
        <v>103</v>
      </c>
      <c r="D12" s="82"/>
      <c r="E12" s="89"/>
    </row>
    <row r="13" spans="1:5" ht="24.75" thickBot="1" x14ac:dyDescent="0.3">
      <c r="A13" s="98"/>
      <c r="B13" s="107"/>
      <c r="C13" s="82" t="s">
        <v>104</v>
      </c>
      <c r="D13" s="82"/>
      <c r="E13" s="89"/>
    </row>
    <row r="14" spans="1:5" ht="60.75" thickBot="1" x14ac:dyDescent="0.3">
      <c r="A14" s="95" t="s">
        <v>183</v>
      </c>
      <c r="B14" s="105" t="s">
        <v>184</v>
      </c>
      <c r="C14" s="82" t="s">
        <v>105</v>
      </c>
      <c r="D14" s="82"/>
      <c r="E14" s="89"/>
    </row>
    <row r="15" spans="1:5" ht="60.75" thickBot="1" x14ac:dyDescent="0.3">
      <c r="A15" s="97"/>
      <c r="B15" s="106"/>
      <c r="C15" s="82" t="s">
        <v>106</v>
      </c>
      <c r="D15" s="82"/>
      <c r="E15" s="89"/>
    </row>
    <row r="16" spans="1:5" ht="24.75" thickBot="1" x14ac:dyDescent="0.3">
      <c r="A16" s="97"/>
      <c r="B16" s="107"/>
      <c r="C16" s="82" t="s">
        <v>107</v>
      </c>
      <c r="D16" s="82"/>
      <c r="E16" s="89"/>
    </row>
    <row r="17" spans="1:5" ht="24.75" thickBot="1" x14ac:dyDescent="0.3">
      <c r="A17" s="98"/>
      <c r="B17" s="81" t="s">
        <v>185</v>
      </c>
      <c r="C17" s="82"/>
      <c r="D17" s="82"/>
      <c r="E17" s="89"/>
    </row>
    <row r="18" spans="1:5" ht="48.75" thickBot="1" x14ac:dyDescent="0.3">
      <c r="A18" s="95" t="s">
        <v>186</v>
      </c>
      <c r="B18" s="105" t="s">
        <v>187</v>
      </c>
      <c r="C18" s="82" t="s">
        <v>108</v>
      </c>
      <c r="D18" s="82"/>
      <c r="E18" s="89"/>
    </row>
    <row r="19" spans="1:5" ht="72.75" thickBot="1" x14ac:dyDescent="0.3">
      <c r="A19" s="97"/>
      <c r="B19" s="106"/>
      <c r="C19" s="82" t="s">
        <v>109</v>
      </c>
      <c r="D19" s="82"/>
      <c r="E19" s="89"/>
    </row>
    <row r="20" spans="1:5" ht="36.75" thickBot="1" x14ac:dyDescent="0.3">
      <c r="A20" s="97"/>
      <c r="B20" s="106"/>
      <c r="C20" s="82" t="s">
        <v>110</v>
      </c>
      <c r="D20" s="82"/>
      <c r="E20" s="89"/>
    </row>
    <row r="21" spans="1:5" ht="48.75" thickBot="1" x14ac:dyDescent="0.3">
      <c r="A21" s="98"/>
      <c r="B21" s="107"/>
      <c r="C21" s="82" t="s">
        <v>111</v>
      </c>
      <c r="D21" s="82"/>
      <c r="E21" s="89"/>
    </row>
    <row r="22" spans="1:5" ht="24.75" thickBot="1" x14ac:dyDescent="0.3">
      <c r="A22" s="108" t="s">
        <v>188</v>
      </c>
      <c r="B22" s="110" t="s">
        <v>189</v>
      </c>
      <c r="C22" s="83" t="s">
        <v>112</v>
      </c>
      <c r="D22" s="83"/>
      <c r="E22" s="90"/>
    </row>
    <row r="23" spans="1:5" ht="36.75" thickBot="1" x14ac:dyDescent="0.3">
      <c r="A23" s="109"/>
      <c r="B23" s="111"/>
      <c r="C23" s="83" t="s">
        <v>113</v>
      </c>
      <c r="D23" s="83"/>
      <c r="E23" s="90"/>
    </row>
    <row r="24" spans="1:5" ht="48.75" thickBot="1" x14ac:dyDescent="0.3">
      <c r="A24" s="108" t="s">
        <v>190</v>
      </c>
      <c r="B24" s="110"/>
      <c r="C24" s="83" t="s">
        <v>114</v>
      </c>
      <c r="D24" s="83"/>
      <c r="E24" s="90"/>
    </row>
    <row r="25" spans="1:5" ht="24.75" thickBot="1" x14ac:dyDescent="0.3">
      <c r="A25" s="112"/>
      <c r="B25" s="113"/>
      <c r="C25" s="83" t="s">
        <v>115</v>
      </c>
      <c r="D25" s="83"/>
      <c r="E25" s="90"/>
    </row>
    <row r="26" spans="1:5" ht="24.75" thickBot="1" x14ac:dyDescent="0.3">
      <c r="A26" s="112"/>
      <c r="B26" s="113"/>
      <c r="C26" s="83" t="s">
        <v>116</v>
      </c>
      <c r="D26" s="83"/>
      <c r="E26" s="90"/>
    </row>
    <row r="27" spans="1:5" ht="36.75" thickBot="1" x14ac:dyDescent="0.3">
      <c r="A27" s="112"/>
      <c r="B27" s="113"/>
      <c r="C27" s="83" t="s">
        <v>117</v>
      </c>
      <c r="D27" s="83"/>
      <c r="E27" s="90"/>
    </row>
    <row r="28" spans="1:5" ht="24.75" thickBot="1" x14ac:dyDescent="0.3">
      <c r="A28" s="112"/>
      <c r="B28" s="113"/>
      <c r="C28" s="83" t="s">
        <v>118</v>
      </c>
      <c r="D28" s="83"/>
      <c r="E28" s="90"/>
    </row>
    <row r="29" spans="1:5" ht="72.75" thickBot="1" x14ac:dyDescent="0.3">
      <c r="A29" s="112"/>
      <c r="B29" s="111"/>
      <c r="C29" s="83" t="s">
        <v>119</v>
      </c>
      <c r="D29" s="83"/>
      <c r="E29" s="90"/>
    </row>
    <row r="30" spans="1:5" ht="48.75" thickBot="1" x14ac:dyDescent="0.3">
      <c r="A30" s="112"/>
      <c r="B30" s="110" t="s">
        <v>191</v>
      </c>
      <c r="C30" s="83" t="s">
        <v>120</v>
      </c>
      <c r="D30" s="83"/>
      <c r="E30" s="90"/>
    </row>
    <row r="31" spans="1:5" ht="36.75" thickBot="1" x14ac:dyDescent="0.3">
      <c r="A31" s="112"/>
      <c r="B31" s="113"/>
      <c r="C31" s="83" t="s">
        <v>121</v>
      </c>
      <c r="D31" s="83"/>
      <c r="E31" s="90"/>
    </row>
    <row r="32" spans="1:5" ht="24.75" thickBot="1" x14ac:dyDescent="0.3">
      <c r="A32" s="112"/>
      <c r="B32" s="113"/>
      <c r="C32" s="83" t="s">
        <v>122</v>
      </c>
      <c r="D32" s="83"/>
      <c r="E32" s="90"/>
    </row>
    <row r="33" spans="1:5" ht="36.75" thickBot="1" x14ac:dyDescent="0.3">
      <c r="A33" s="109"/>
      <c r="B33" s="111"/>
      <c r="C33" s="83" t="s">
        <v>123</v>
      </c>
      <c r="D33" s="83"/>
      <c r="E33" s="90"/>
    </row>
    <row r="34" spans="1:5" ht="36.75" thickBot="1" x14ac:dyDescent="0.3">
      <c r="A34" s="108" t="s">
        <v>192</v>
      </c>
      <c r="B34" s="110" t="s">
        <v>181</v>
      </c>
      <c r="C34" s="83" t="s">
        <v>124</v>
      </c>
      <c r="D34" s="83"/>
      <c r="E34" s="90"/>
    </row>
    <row r="35" spans="1:5" ht="96.75" thickBot="1" x14ac:dyDescent="0.3">
      <c r="A35" s="112"/>
      <c r="B35" s="113"/>
      <c r="C35" s="83" t="s">
        <v>125</v>
      </c>
      <c r="D35" s="83"/>
      <c r="E35" s="90"/>
    </row>
    <row r="36" spans="1:5" ht="72.75" thickBot="1" x14ac:dyDescent="0.3">
      <c r="A36" s="112"/>
      <c r="B36" s="111"/>
      <c r="C36" s="83" t="s">
        <v>126</v>
      </c>
      <c r="D36" s="83"/>
      <c r="E36" s="90"/>
    </row>
    <row r="37" spans="1:5" ht="48.75" thickBot="1" x14ac:dyDescent="0.3">
      <c r="A37" s="112"/>
      <c r="B37" s="110" t="s">
        <v>193</v>
      </c>
      <c r="C37" s="83" t="s">
        <v>127</v>
      </c>
      <c r="D37" s="83"/>
      <c r="E37" s="90"/>
    </row>
    <row r="38" spans="1:5" ht="72.75" thickBot="1" x14ac:dyDescent="0.3">
      <c r="A38" s="112"/>
      <c r="B38" s="113"/>
      <c r="C38" s="83" t="s">
        <v>128</v>
      </c>
      <c r="D38" s="83"/>
      <c r="E38" s="90"/>
    </row>
    <row r="39" spans="1:5" ht="48.75" thickBot="1" x14ac:dyDescent="0.3">
      <c r="A39" s="112"/>
      <c r="B39" s="111"/>
      <c r="C39" s="83" t="s">
        <v>129</v>
      </c>
      <c r="D39" s="83"/>
      <c r="E39" s="90"/>
    </row>
    <row r="40" spans="1:5" ht="60.75" thickBot="1" x14ac:dyDescent="0.3">
      <c r="A40" s="109"/>
      <c r="B40" s="84"/>
      <c r="C40" s="83" t="s">
        <v>130</v>
      </c>
      <c r="D40" s="83"/>
      <c r="E40" s="90"/>
    </row>
    <row r="41" spans="1:5" ht="72.75" thickBot="1" x14ac:dyDescent="0.3">
      <c r="A41" s="91"/>
      <c r="B41" s="84"/>
      <c r="C41" s="83" t="s">
        <v>131</v>
      </c>
      <c r="D41" s="83"/>
      <c r="E41" s="90"/>
    </row>
    <row r="42" spans="1:5" ht="60.75" thickBot="1" x14ac:dyDescent="0.3">
      <c r="A42" s="108" t="s">
        <v>194</v>
      </c>
      <c r="B42" s="110" t="s">
        <v>195</v>
      </c>
      <c r="C42" s="83" t="s">
        <v>132</v>
      </c>
      <c r="D42" s="83"/>
      <c r="E42" s="90"/>
    </row>
    <row r="43" spans="1:5" ht="36.75" thickBot="1" x14ac:dyDescent="0.3">
      <c r="A43" s="112"/>
      <c r="B43" s="111"/>
      <c r="C43" s="83" t="s">
        <v>133</v>
      </c>
      <c r="D43" s="83"/>
      <c r="E43" s="90"/>
    </row>
    <row r="44" spans="1:5" ht="96.75" thickBot="1" x14ac:dyDescent="0.3">
      <c r="A44" s="109"/>
      <c r="B44" s="84" t="s">
        <v>196</v>
      </c>
      <c r="C44" s="83" t="s">
        <v>134</v>
      </c>
      <c r="D44" s="83"/>
      <c r="E44" s="90"/>
    </row>
    <row r="45" spans="1:5" ht="36" x14ac:dyDescent="0.25">
      <c r="A45" s="92" t="s">
        <v>197</v>
      </c>
      <c r="B45" s="93"/>
      <c r="C45" s="93"/>
      <c r="D45" s="93"/>
      <c r="E45" s="94"/>
    </row>
  </sheetData>
  <mergeCells count="21">
    <mergeCell ref="A42:A44"/>
    <mergeCell ref="B42:B43"/>
    <mergeCell ref="A24:A33"/>
    <mergeCell ref="B24:B29"/>
    <mergeCell ref="B30:B33"/>
    <mergeCell ref="A34:A40"/>
    <mergeCell ref="B34:B36"/>
    <mergeCell ref="B37:B39"/>
    <mergeCell ref="A14:A17"/>
    <mergeCell ref="B14:B16"/>
    <mergeCell ref="A18:A21"/>
    <mergeCell ref="B18:B21"/>
    <mergeCell ref="A22:A23"/>
    <mergeCell ref="B22:B23"/>
    <mergeCell ref="A2:A4"/>
    <mergeCell ref="C2:C4"/>
    <mergeCell ref="A5:A7"/>
    <mergeCell ref="C5:C7"/>
    <mergeCell ref="A8:A13"/>
    <mergeCell ref="C8:C9"/>
    <mergeCell ref="B9:B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Unscaled Experiments</vt:lpstr>
      <vt:lpstr>Scaled Experiments</vt:lpstr>
      <vt:lpstr>Experiments</vt:lpstr>
      <vt:lpstr>Overview of indicators and DLS</vt:lpstr>
      <vt:lpstr>Sheet1</vt:lpstr>
      <vt:lpstr>New table in report</vt:lpstr>
      <vt:lpstr>Old table in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Aske Banke</dc:creator>
  <cp:lastModifiedBy>Aske Banke</cp:lastModifiedBy>
  <dcterms:created xsi:type="dcterms:W3CDTF">2025-09-09T07:39:21Z</dcterms:created>
  <dcterms:modified xsi:type="dcterms:W3CDTF">2025-10-27T16:21:44Z</dcterms:modified>
</cp:coreProperties>
</file>